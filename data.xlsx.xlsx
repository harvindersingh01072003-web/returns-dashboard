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vinderSingh\Downloads\"/>
    </mc:Choice>
  </mc:AlternateContent>
  <xr:revisionPtr revIDLastSave="0" documentId="13_ncr:1_{D8D9B7C7-268A-4488-B4A4-87B556F2EE0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Raw Data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64Ybss8wXglXdnq1qm986+ztE3RTc/PVWaJJiKdJN4="/>
    </ext>
  </extLst>
</workbook>
</file>

<file path=xl/calcChain.xml><?xml version="1.0" encoding="utf-8"?>
<calcChain xmlns="http://schemas.openxmlformats.org/spreadsheetml/2006/main">
  <c r="FD21" i="1" l="1"/>
  <c r="FC21" i="1"/>
  <c r="FB21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N18" i="1"/>
  <c r="EM18" i="1"/>
  <c r="EL18" i="1"/>
  <c r="EK18" i="1"/>
  <c r="EJ18" i="1"/>
  <c r="EI18" i="1"/>
  <c r="EH18" i="1"/>
  <c r="EG18" i="1"/>
  <c r="EF18" i="1"/>
  <c r="EE18" i="1"/>
  <c r="ED18" i="1"/>
  <c r="EC18" i="1"/>
  <c r="EB18" i="1"/>
  <c r="EA18" i="1"/>
  <c r="DZ18" i="1"/>
  <c r="DY18" i="1"/>
  <c r="DX18" i="1"/>
  <c r="DW18" i="1"/>
  <c r="DV18" i="1"/>
  <c r="DU18" i="1"/>
  <c r="DT18" i="1"/>
  <c r="DS18" i="1"/>
  <c r="DR18" i="1"/>
  <c r="DQ18" i="1"/>
  <c r="DP18" i="1"/>
  <c r="DO18" i="1"/>
  <c r="DN18" i="1"/>
  <c r="DM18" i="1"/>
  <c r="DL18" i="1"/>
  <c r="DK18" i="1"/>
  <c r="DJ18" i="1"/>
  <c r="DI18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FD18" i="1" s="1"/>
  <c r="C18" i="1"/>
  <c r="FC18" i="1" s="1"/>
  <c r="B18" i="1"/>
  <c r="FB18" i="1" s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EI16" i="1"/>
  <c r="EH16" i="1"/>
  <c r="EG16" i="1"/>
  <c r="EF16" i="1"/>
  <c r="EE16" i="1"/>
  <c r="ED16" i="1"/>
  <c r="EC16" i="1"/>
  <c r="EB16" i="1"/>
  <c r="EA16" i="1"/>
  <c r="DZ16" i="1"/>
  <c r="DY16" i="1"/>
  <c r="DX16" i="1"/>
  <c r="DW16" i="1"/>
  <c r="DV16" i="1"/>
  <c r="DU16" i="1"/>
  <c r="DT16" i="1"/>
  <c r="DS16" i="1"/>
  <c r="DR16" i="1"/>
  <c r="DQ16" i="1"/>
  <c r="DP16" i="1"/>
  <c r="DO16" i="1"/>
  <c r="DN16" i="1"/>
  <c r="DM16" i="1"/>
  <c r="DL16" i="1"/>
  <c r="DK16" i="1"/>
  <c r="DJ16" i="1"/>
  <c r="DI16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FD16" i="1" s="1"/>
  <c r="C16" i="1"/>
  <c r="FC16" i="1" s="1"/>
  <c r="B16" i="1"/>
  <c r="FB16" i="1" s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FD13" i="1" s="1"/>
  <c r="C13" i="1"/>
  <c r="FC13" i="1" s="1"/>
  <c r="B13" i="1"/>
  <c r="FB13" i="1" s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FD11" i="1" s="1"/>
  <c r="C11" i="1"/>
  <c r="FC11" i="1" s="1"/>
  <c r="B11" i="1"/>
  <c r="FB11" i="1" s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FD10" i="1" s="1"/>
  <c r="C10" i="1"/>
  <c r="FC10" i="1" s="1"/>
  <c r="B10" i="1"/>
  <c r="FB10" i="1" s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FD9" i="1" s="1"/>
  <c r="C9" i="1"/>
  <c r="FC9" i="1" s="1"/>
  <c r="B9" i="1"/>
  <c r="FB9" i="1" s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FD7" i="1" s="1"/>
  <c r="C7" i="1"/>
  <c r="FC7" i="1" s="1"/>
  <c r="B7" i="1"/>
  <c r="FB7" i="1" s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FD6" i="1" s="1"/>
  <c r="C6" i="1"/>
  <c r="FC6" i="1" s="1"/>
  <c r="B6" i="1"/>
  <c r="FB6" i="1" s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FD5" i="1" s="1"/>
  <c r="C5" i="1"/>
  <c r="FC5" i="1" s="1"/>
  <c r="B5" i="1"/>
  <c r="FB5" i="1" s="1"/>
</calcChain>
</file>

<file path=xl/sharedStrings.xml><?xml version="1.0" encoding="utf-8"?>
<sst xmlns="http://schemas.openxmlformats.org/spreadsheetml/2006/main" count="807" uniqueCount="223">
  <si>
    <t>📊  RETURNS MANAGEMENT DASHBOARD  —  Full Year (W1–W52)</t>
  </si>
  <si>
    <t>⚡ Just paste data in the 'Raw Data' sheet — this dashboard auto-updates. Each week column fills as you add data. Press Ctrl+Alt+F9 to force refresh.</t>
  </si>
  <si>
    <t>Particulars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</si>
  <si>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</si>
  <si>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</si>
  <si>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</si>
  <si>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</si>
  <si>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</si>
  <si>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</si>
  <si>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</si>
  <si>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</si>
  <si>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</si>
  <si>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</si>
  <si>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</si>
  <si>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</si>
  <si>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</si>
  <si>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</si>
  <si>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</si>
  <si>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</si>
  <si>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</si>
  <si>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</si>
  <si>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</si>
  <si>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</si>
  <si>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</si>
  <si>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</si>
  <si>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</si>
  <si>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</si>
  <si>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</si>
  <si>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</si>
  <si>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</si>
  <si>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</si>
  <si>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</si>
  <si>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</si>
  <si>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</si>
  <si>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</si>
  <si>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</si>
  <si>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</si>
  <si>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</si>
  <si>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</si>
  <si>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</si>
  <si>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</si>
  <si>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</si>
  <si>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</si>
  <si>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</si>
  <si>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</si>
  <si>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</si>
  <si>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</si>
  <si>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</si>
  <si>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</si>
  <si>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</si>
  <si>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</si>
  <si>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</si>
  <si>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</si>
  <si>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</si>
  <si>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</si>
  <si>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TOTAL (All Weeks)</t>
  </si>
  <si>
    <t>COGS (£)</t>
  </si>
  <si>
    <t>Sales (£)</t>
  </si>
  <si>
    <t>Units</t>
  </si>
  <si>
    <t>Total Returns Value</t>
  </si>
  <si>
    <t>Green Return</t>
  </si>
  <si>
    <t>Not Received</t>
  </si>
  <si>
    <t>A Stock</t>
  </si>
  <si>
    <t>B, C, D Stock</t>
  </si>
  <si>
    <t>Not Graded</t>
  </si>
  <si>
    <t>DN Raised (Carriers)</t>
  </si>
  <si>
    <t>DN Accepted (A)</t>
  </si>
  <si>
    <t>TBA</t>
  </si>
  <si>
    <t>Liquidation Value* (B)</t>
  </si>
  <si>
    <t>DN Factories</t>
  </si>
  <si>
    <t>DN Accepted (C)</t>
  </si>
  <si>
    <t>Recovery Value (A+B+C)</t>
  </si>
  <si>
    <t>Recovery %</t>
  </si>
  <si>
    <t>—</t>
  </si>
  <si>
    <t>* Green Return = tags contain 'green return'  |  Not Received = Receiving = 'Not received'  |  DN Raised = has Carrier Tracking number  |  DN Factories = has DN Factory reference  |  Liquidation = Liquidation = 'Yes'  |  TBA rows = manually enter once debit notes confirmed</t>
  </si>
  <si>
    <t>📋  RAW DATA INPUT — Add your returns rows from Row 3 onwards. Do NOT rename column headers in Row 2.</t>
  </si>
  <si>
    <t>Date (Readable Format)</t>
  </si>
  <si>
    <t>order_number</t>
  </si>
  <si>
    <t>sku</t>
  </si>
  <si>
    <t>Concat</t>
  </si>
  <si>
    <t>item_quantity</t>
  </si>
  <si>
    <t>tags</t>
  </si>
  <si>
    <t>Carrier</t>
  </si>
  <si>
    <t>Carrier Tracking</t>
  </si>
  <si>
    <t>Delivered Date</t>
  </si>
  <si>
    <t>Issue Type</t>
  </si>
  <si>
    <t>Liquidation</t>
  </si>
  <si>
    <t>Vendor</t>
  </si>
  <si>
    <t>Total COGS</t>
  </si>
  <si>
    <t>Total Sales Value</t>
  </si>
  <si>
    <t>sent for liquidation</t>
  </si>
  <si>
    <t>Week Number</t>
  </si>
  <si>
    <t>Receiving</t>
  </si>
  <si>
    <t>Grading</t>
  </si>
  <si>
    <t>DN Factory</t>
  </si>
  <si>
    <t>02 Mar 26</t>
  </si>
  <si>
    <t>BATV00001A</t>
  </si>
  <si>
    <t>8889BATV00001A</t>
  </si>
  <si>
    <t>SGK</t>
  </si>
  <si>
    <t>SGK7C32371B723FC</t>
  </si>
  <si>
    <t>23 Feb 26</t>
  </si>
  <si>
    <t>Defective</t>
  </si>
  <si>
    <t>No</t>
  </si>
  <si>
    <t>TRCO00004A</t>
  </si>
  <si>
    <t>11196TRCO00004A</t>
  </si>
  <si>
    <t>SGK5087782AED67C</t>
  </si>
  <si>
    <t>24 Feb 26</t>
  </si>
  <si>
    <t>Yes</t>
  </si>
  <si>
    <t>received</t>
  </si>
  <si>
    <t>03 Mar 26</t>
  </si>
  <si>
    <t>BACO00008A</t>
  </si>
  <si>
    <t>11720BACO00008A</t>
  </si>
  <si>
    <t>SGK5403F0AFE19C</t>
  </si>
  <si>
    <t>2 Mar 26</t>
  </si>
  <si>
    <t>Damaged</t>
  </si>
  <si>
    <t>TRCO00005A</t>
  </si>
  <si>
    <t>10410TRCO00005A</t>
  </si>
  <si>
    <t>SGK0C3EA7D47DB09C</t>
  </si>
  <si>
    <t>9 Feb 26</t>
  </si>
  <si>
    <t>FRET00084A</t>
  </si>
  <si>
    <t>4545FRET00084A</t>
  </si>
  <si>
    <t>DPD</t>
  </si>
  <si>
    <t>15976992400775</t>
  </si>
  <si>
    <t>19 Feb 26</t>
  </si>
  <si>
    <t>Not received</t>
  </si>
  <si>
    <t>TRDT00007A</t>
  </si>
  <si>
    <t>11313TRDT00007A</t>
  </si>
  <si>
    <t>SGKD6B081DDAA2EC</t>
  </si>
  <si>
    <t>26 Feb 26</t>
  </si>
  <si>
    <t>04 Mar 26</t>
  </si>
  <si>
    <t>FRRU00314P</t>
  </si>
  <si>
    <t>10957FRRU00314P</t>
  </si>
  <si>
    <t>DHL</t>
  </si>
  <si>
    <t>1759280611</t>
  </si>
  <si>
    <t>4 Mar 26</t>
  </si>
  <si>
    <t>05 Mar 26</t>
  </si>
  <si>
    <t>TRTL00017A</t>
  </si>
  <si>
    <t>11792TRTL00017A</t>
  </si>
  <si>
    <t>15976785401228</t>
  </si>
  <si>
    <t>BAWM00021A</t>
  </si>
  <si>
    <t>11814BAWM00021A</t>
  </si>
  <si>
    <t>SGKD68608705559C</t>
  </si>
  <si>
    <t>5 Mar 26</t>
  </si>
  <si>
    <t>EXC11650</t>
  </si>
  <si>
    <t>EXC11650BACO00008A</t>
  </si>
  <si>
    <t>[green return]</t>
  </si>
  <si>
    <t>06 Mar 26</t>
  </si>
  <si>
    <t>TRDT00006A</t>
  </si>
  <si>
    <t>3731TRDT00006A</t>
  </si>
  <si>
    <t>SGK2034DFE3FB32C</t>
  </si>
  <si>
    <t>18 Oct 25</t>
  </si>
  <si>
    <t>07 Mar 26</t>
  </si>
  <si>
    <t>TRDC00001A</t>
  </si>
  <si>
    <t>12028TRDC00001A</t>
  </si>
  <si>
    <t>15976780943419</t>
  </si>
  <si>
    <t>7 Mar 26</t>
  </si>
  <si>
    <t>NO</t>
  </si>
  <si>
    <t>A</t>
  </si>
  <si>
    <t>TRET00009A</t>
  </si>
  <si>
    <t>12069TRET00009A</t>
  </si>
  <si>
    <t>15976781076288</t>
  </si>
  <si>
    <t>08 Mar 26</t>
  </si>
  <si>
    <t>TRET00024A</t>
  </si>
  <si>
    <t>6005TRET00024A</t>
  </si>
  <si>
    <t>SGKEB2540821859C</t>
  </si>
  <si>
    <t>5 Dec 25</t>
  </si>
  <si>
    <t>AABB00001A</t>
  </si>
  <si>
    <t>7001AABB00001A</t>
  </si>
  <si>
    <t>SGKABC123</t>
  </si>
  <si>
    <t>20 Feb 26</t>
  </si>
  <si>
    <t>BBCC00002A</t>
  </si>
  <si>
    <t>7002BBCC00002A</t>
  </si>
  <si>
    <t>DPD9999</t>
  </si>
  <si>
    <t>22 Feb 26</t>
  </si>
  <si>
    <t>25 Feb 26</t>
  </si>
  <si>
    <t>CCDD00003A</t>
  </si>
  <si>
    <t>7003CCDD00003A</t>
  </si>
  <si>
    <t>SGKXYZ789</t>
  </si>
  <si>
    <t>21 Feb 26</t>
  </si>
  <si>
    <t>10 Mar 26</t>
  </si>
  <si>
    <t>DDEE00004A</t>
  </si>
  <si>
    <t>9001DDEE00004A</t>
  </si>
  <si>
    <t>SGK111222</t>
  </si>
  <si>
    <t>8 Mar 26</t>
  </si>
  <si>
    <t>11 Mar 26</t>
  </si>
  <si>
    <t>EEFF00005A</t>
  </si>
  <si>
    <t>9002EEFF00005A</t>
  </si>
  <si>
    <t>DPD555666</t>
  </si>
  <si>
    <t>9 Mar 26</t>
  </si>
  <si>
    <t>12 Mar 26</t>
  </si>
  <si>
    <t>FFGG00006A</t>
  </si>
  <si>
    <t>9003FFGG00006A</t>
  </si>
  <si>
    <t>SGK777888</t>
  </si>
  <si>
    <t>HOW TO USE YOUR RETURNS DASHBOARD</t>
  </si>
  <si>
    <t>STEP 1 — Add your returns data</t>
  </si>
  <si>
    <t>→ Go to the 'Raw Data' sheet</t>
  </si>
  <si>
    <t>→ Paste or type your return rows starting from Row 3</t>
  </si>
  <si>
    <t>→ Make sure the 'Week Number' column (Column P) has the right week e.g. W10, W11, W12 ...</t>
  </si>
  <si>
    <t>→ Week numbers MUST match this format exactly:  W9  W10  W11  W12  etc.</t>
  </si>
  <si>
    <t>STEP 2 — Refresh the Dashboard</t>
  </si>
  <si>
    <t>→ Go to the 'Dashboard' sheet</t>
  </si>
  <si>
    <t>→ Press Ctrl + Alt + F9  (Windows)  OR  Cmd + Option + F9  (Mac)  to force all formulas to recalculate</t>
  </si>
  <si>
    <t>→ Your new week column will now show data automatically</t>
  </si>
  <si>
    <t>STEP 3 — Navigate the Dashboard</t>
  </si>
  <si>
    <t>→ Scroll RIGHT to see newer weeks (W1 is on the far left, W52 is on the far right)</t>
  </si>
  <si>
    <t>→ The TOTAL column on the far right always shows the grand total across ALL weeks</t>
  </si>
  <si>
    <t>→ Row A, Row 1 is frozen so you can always see the week labels as you scroll</t>
  </si>
  <si>
    <t>WHAT EACH ROW MEANS</t>
  </si>
  <si>
    <t>Total Returns Value     = ALL returns in that week (sum of everything)</t>
  </si>
  <si>
    <t>Green Return            = Items tagged as 'green return' in the tags column</t>
  </si>
  <si>
    <t>Not Received            = Items where Receiving column = 'Not received'</t>
  </si>
  <si>
    <t>A Stock                 = Items graded 'A' in the Grading column</t>
  </si>
  <si>
    <t>B, C, D Stock           = Items graded B, C or D in the Grading column</t>
  </si>
  <si>
    <t>Not Graded              = Items with no grading entered yet</t>
  </si>
  <si>
    <t>DN Raised (Carriers)    = Items that have a Carrier Tracking number (DN sent to carrier)</t>
  </si>
  <si>
    <t>Liquidation Value       = Items where Liquidation column = 'Yes'</t>
  </si>
  <si>
    <t>DN Factories            = Items that have a DN Factory reference filled in</t>
  </si>
  <si>
    <t>TBA rows                = These need to be filled in manually once debit notes are confirmed</t>
  </si>
  <si>
    <t>TIPS</t>
  </si>
  <si>
    <t>→ Week numbers are case-sensitive. Always use capital W:  W10  not  w10</t>
  </si>
  <si>
    <t>→ You can add as many rows as you like — the sheet supports up to 5000 rows</t>
  </si>
  <si>
    <t>→ Do NOT rename or move column headers in Row 2 of Raw Data</t>
  </si>
  <si>
    <t>→ The dashboard covers W1 to W52 — it will NEVER need to be updated for new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</si>
</sst>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£#,##0.00_);&quot;(£&quot;#,##0.00\)"/>
    <numFmt numFmtId="165" formatCode="0.0%"/>
  </numFmts>
  <fonts count="16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i/>
      <sz val="9"/>
      <color rgb="FFFFFFFF"/>
      <name val="Arial"/>
      <family val="2"/>
    </font>
    <font>
      <b/>
      <sz val="11"/>
      <color rgb="FFFFFFFF"/>
      <name val="Arial"/>
      <family val="2"/>
    </font>
    <font>
      <b/>
      <sz val="8"/>
      <color rgb="FFFFFFF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  <font>
      <b/>
      <sz val="9"/>
      <color rgb="FFCC0000"/>
      <name val="Arial"/>
      <family val="2"/>
    </font>
    <font>
      <i/>
      <sz val="8"/>
      <color rgb="FF666666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2"/>
      <color rgb="FFFFFF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D2137"/>
        <bgColor rgb="FF0D2137"/>
      </patternFill>
    </fill>
    <fill>
      <patternFill patternType="solid">
        <fgColor rgb="FF2E75B6"/>
        <bgColor rgb="FF2E75B6"/>
      </patternFill>
    </fill>
    <fill>
      <patternFill patternType="solid">
        <fgColor rgb="FF1F4E79"/>
        <bgColor rgb="FF1F4E79"/>
      </patternFill>
    </fill>
    <fill>
      <patternFill patternType="solid">
        <fgColor rgb="FF1B5E20"/>
        <bgColor rgb="FF1B5E20"/>
      </patternFill>
    </fill>
    <fill>
      <patternFill patternType="solid">
        <fgColor rgb="FFDEEAF1"/>
        <bgColor rgb="FFDEEAF1"/>
      </patternFill>
    </fill>
    <fill>
      <patternFill patternType="solid">
        <fgColor rgb="FFE8F5E9"/>
        <bgColor rgb="FFE8F5E9"/>
      </patternFill>
    </fill>
    <fill>
      <patternFill patternType="solid">
        <fgColor rgb="FFF0F4F8"/>
        <bgColor rgb="FFF0F4F8"/>
      </patternFill>
    </fill>
    <fill>
      <patternFill patternType="solid">
        <fgColor rgb="FFF5F5F5"/>
        <bgColor rgb="FFF5F5F5"/>
      </patternFill>
    </fill>
    <fill>
      <patternFill patternType="solid">
        <fgColor rgb="FFF1F8E9"/>
        <bgColor rgb="FFF1F8E9"/>
      </patternFill>
    </fill>
    <fill>
      <patternFill patternType="solid">
        <fgColor rgb="FFFFF8E1"/>
        <bgColor rgb="FFFFF8E1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B71C1C"/>
        <bgColor rgb="FFB71C1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3" borderId="12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left" vertical="center" wrapText="1"/>
    </xf>
    <xf numFmtId="164" fontId="7" fillId="6" borderId="12" xfId="0" applyNumberFormat="1" applyFont="1" applyFill="1" applyBorder="1" applyAlignment="1">
      <alignment horizontal="center" vertical="center" wrapText="1"/>
    </xf>
    <xf numFmtId="3" fontId="7" fillId="6" borderId="12" xfId="0" applyNumberFormat="1" applyFont="1" applyFill="1" applyBorder="1" applyAlignment="1">
      <alignment horizontal="center" vertical="center" wrapText="1"/>
    </xf>
    <xf numFmtId="164" fontId="8" fillId="7" borderId="13" xfId="0" applyNumberFormat="1" applyFont="1" applyFill="1" applyBorder="1" applyAlignment="1">
      <alignment horizontal="center" vertical="center" wrapText="1"/>
    </xf>
    <xf numFmtId="3" fontId="8" fillId="7" borderId="13" xfId="0" applyNumberFormat="1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left" vertical="center" wrapText="1"/>
    </xf>
    <xf numFmtId="164" fontId="7" fillId="7" borderId="12" xfId="0" applyNumberFormat="1" applyFont="1" applyFill="1" applyBorder="1" applyAlignment="1">
      <alignment horizontal="center" vertical="center" wrapText="1"/>
    </xf>
    <xf numFmtId="3" fontId="7" fillId="7" borderId="12" xfId="0" applyNumberFormat="1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left" vertical="center" wrapText="1"/>
    </xf>
    <xf numFmtId="164" fontId="7" fillId="8" borderId="12" xfId="0" applyNumberFormat="1" applyFont="1" applyFill="1" applyBorder="1" applyAlignment="1">
      <alignment horizontal="center" vertical="center" wrapText="1"/>
    </xf>
    <xf numFmtId="3" fontId="7" fillId="8" borderId="12" xfId="0" applyNumberFormat="1" applyFont="1" applyFill="1" applyBorder="1" applyAlignment="1">
      <alignment horizontal="center" vertical="center" wrapText="1"/>
    </xf>
    <xf numFmtId="0" fontId="10" fillId="9" borderId="14" xfId="0" applyFont="1" applyFill="1" applyBorder="1"/>
    <xf numFmtId="0" fontId="9" fillId="10" borderId="12" xfId="0" applyFont="1" applyFill="1" applyBorder="1" applyAlignment="1">
      <alignment horizontal="left" vertical="center" wrapText="1"/>
    </xf>
    <xf numFmtId="164" fontId="7" fillId="10" borderId="12" xfId="0" applyNumberFormat="1" applyFont="1" applyFill="1" applyBorder="1" applyAlignment="1">
      <alignment horizontal="center" vertical="center" wrapText="1"/>
    </xf>
    <xf numFmtId="3" fontId="7" fillId="10" borderId="12" xfId="0" applyNumberFormat="1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left" vertical="center" wrapText="1"/>
    </xf>
    <xf numFmtId="164" fontId="7" fillId="11" borderId="12" xfId="0" applyNumberFormat="1" applyFont="1" applyFill="1" applyBorder="1" applyAlignment="1">
      <alignment horizontal="center" vertical="center" wrapText="1"/>
    </xf>
    <xf numFmtId="3" fontId="7" fillId="11" borderId="12" xfId="0" applyNumberFormat="1" applyFont="1" applyFill="1" applyBorder="1" applyAlignment="1">
      <alignment horizontal="center" vertical="center" wrapText="1"/>
    </xf>
    <xf numFmtId="0" fontId="9" fillId="11" borderId="12" xfId="0" applyFont="1" applyFill="1" applyBorder="1" applyAlignment="1">
      <alignment horizontal="left" vertical="center" wrapText="1"/>
    </xf>
    <xf numFmtId="0" fontId="11" fillId="11" borderId="12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left" vertical="center" wrapText="1"/>
    </xf>
    <xf numFmtId="164" fontId="7" fillId="12" borderId="12" xfId="0" applyNumberFormat="1" applyFont="1" applyFill="1" applyBorder="1" applyAlignment="1">
      <alignment horizontal="center" vertical="center" wrapText="1"/>
    </xf>
    <xf numFmtId="3" fontId="7" fillId="12" borderId="12" xfId="0" applyNumberFormat="1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left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6" fillId="13" borderId="12" xfId="0" applyFont="1" applyFill="1" applyBorder="1" applyAlignment="1">
      <alignment horizontal="left" vertical="center" wrapText="1"/>
    </xf>
    <xf numFmtId="164" fontId="7" fillId="13" borderId="12" xfId="0" applyNumberFormat="1" applyFont="1" applyFill="1" applyBorder="1" applyAlignment="1">
      <alignment horizontal="center" vertical="center" wrapText="1"/>
    </xf>
    <xf numFmtId="3" fontId="7" fillId="13" borderId="12" xfId="0" applyNumberFormat="1" applyFont="1" applyFill="1" applyBorder="1" applyAlignment="1">
      <alignment horizontal="center" vertical="center" wrapText="1"/>
    </xf>
    <xf numFmtId="165" fontId="7" fillId="13" borderId="12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15" fillId="3" borderId="14" xfId="0" applyFont="1" applyFill="1" applyBorder="1" applyAlignment="1">
      <alignment horizontal="left" vertical="center" wrapText="1"/>
    </xf>
    <xf numFmtId="0" fontId="15" fillId="5" borderId="14" xfId="0" applyFont="1" applyFill="1" applyBorder="1" applyAlignment="1">
      <alignment horizontal="left" vertical="center" wrapText="1"/>
    </xf>
    <xf numFmtId="0" fontId="15" fillId="14" borderId="1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4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12" fillId="0" borderId="0" xfId="0" applyFont="1" applyAlignment="1">
      <alignment horizontal="left" wrapText="1"/>
    </xf>
    <xf numFmtId="0" fontId="0" fillId="0" borderId="0" xfId="0"/>
    <xf numFmtId="0" fontId="4" fillId="5" borderId="8" xfId="0" applyFont="1" applyFill="1" applyBorder="1" applyAlignment="1">
      <alignment horizontal="center" vertical="center" wrapText="1"/>
    </xf>
    <xf numFmtId="0" fontId="2" fillId="0" borderId="9" xfId="0" applyFont="1" applyBorder="1"/>
    <xf numFmtId="0" fontId="2" fillId="0" borderId="10" xfId="0" applyFont="1" applyBorder="1"/>
    <xf numFmtId="0" fontId="13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1000"/>
  <sheetViews>
    <sheetView tabSelected="1"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AA15" sqref="AA15"/>
    </sheetView>
  </sheetViews>
  <sheetFormatPr defaultColWidth="14.44140625" defaultRowHeight="15" customHeight="1" x14ac:dyDescent="0.3"/>
  <cols>
    <col min="1" max="1" width="24" customWidth="1"/>
    <col min="2" max="3" width="11" customWidth="1"/>
    <col min="4" max="4" width="7" customWidth="1"/>
    <col min="5" max="6" width="11" customWidth="1"/>
    <col min="7" max="7" width="7" customWidth="1"/>
    <col min="8" max="9" width="11" customWidth="1"/>
    <col min="10" max="10" width="7" customWidth="1"/>
    <col min="11" max="12" width="11" customWidth="1"/>
    <col min="13" max="13" width="7" customWidth="1"/>
    <col min="14" max="15" width="11" customWidth="1"/>
    <col min="16" max="16" width="7" customWidth="1"/>
    <col min="17" max="18" width="11" customWidth="1"/>
    <col min="19" max="19" width="7" customWidth="1"/>
    <col min="20" max="21" width="11" customWidth="1"/>
    <col min="22" max="22" width="7" customWidth="1"/>
    <col min="23" max="24" width="11" customWidth="1"/>
    <col min="25" max="25" width="7" customWidth="1"/>
    <col min="26" max="27" width="11" customWidth="1"/>
    <col min="28" max="28" width="7" customWidth="1"/>
    <col min="29" max="30" width="11" customWidth="1"/>
    <col min="31" max="31" width="7" customWidth="1"/>
    <col min="32" max="33" width="11" customWidth="1"/>
    <col min="34" max="34" width="7" customWidth="1"/>
    <col min="35" max="36" width="11" customWidth="1"/>
    <col min="37" max="37" width="7" customWidth="1"/>
    <col min="38" max="39" width="11" customWidth="1"/>
    <col min="40" max="40" width="7" customWidth="1"/>
    <col min="41" max="42" width="11" customWidth="1"/>
    <col min="43" max="43" width="7" customWidth="1"/>
    <col min="44" max="45" width="11" customWidth="1"/>
    <col min="46" max="46" width="7" customWidth="1"/>
    <col min="47" max="48" width="11" customWidth="1"/>
    <col min="49" max="49" width="7" customWidth="1"/>
    <col min="50" max="51" width="11" customWidth="1"/>
    <col min="52" max="52" width="7" customWidth="1"/>
    <col min="53" max="54" width="11" customWidth="1"/>
    <col min="55" max="55" width="7" customWidth="1"/>
    <col min="56" max="57" width="11" customWidth="1"/>
    <col min="58" max="58" width="7" customWidth="1"/>
    <col min="59" max="60" width="11" customWidth="1"/>
    <col min="61" max="61" width="7" customWidth="1"/>
    <col min="62" max="63" width="11" customWidth="1"/>
    <col min="64" max="64" width="7" customWidth="1"/>
    <col min="65" max="66" width="11" customWidth="1"/>
    <col min="67" max="67" width="7" customWidth="1"/>
    <col min="68" max="69" width="11" customWidth="1"/>
    <col min="70" max="70" width="7" customWidth="1"/>
    <col min="71" max="72" width="11" customWidth="1"/>
    <col min="73" max="73" width="7" customWidth="1"/>
    <col min="74" max="75" width="11" customWidth="1"/>
    <col min="76" max="76" width="7" customWidth="1"/>
    <col min="77" max="78" width="11" customWidth="1"/>
    <col min="79" max="79" width="7" customWidth="1"/>
    <col min="80" max="81" width="11" customWidth="1"/>
    <col min="82" max="82" width="7" customWidth="1"/>
    <col min="83" max="84" width="11" customWidth="1"/>
    <col min="85" max="85" width="7" customWidth="1"/>
    <col min="86" max="87" width="11" customWidth="1"/>
    <col min="88" max="88" width="7" customWidth="1"/>
    <col min="89" max="90" width="11" customWidth="1"/>
    <col min="91" max="91" width="7" customWidth="1"/>
    <col min="92" max="93" width="11" customWidth="1"/>
    <col min="94" max="94" width="7" customWidth="1"/>
    <col min="95" max="96" width="11" customWidth="1"/>
    <col min="97" max="97" width="7" customWidth="1"/>
    <col min="98" max="99" width="11" customWidth="1"/>
    <col min="100" max="100" width="7" customWidth="1"/>
    <col min="101" max="102" width="11" customWidth="1"/>
    <col min="103" max="103" width="7" customWidth="1"/>
    <col min="104" max="105" width="11" customWidth="1"/>
    <col min="106" max="106" width="7" customWidth="1"/>
    <col min="107" max="108" width="11" customWidth="1"/>
    <col min="109" max="109" width="7" customWidth="1"/>
    <col min="110" max="111" width="11" customWidth="1"/>
    <col min="112" max="112" width="7" customWidth="1"/>
    <col min="113" max="114" width="11" customWidth="1"/>
    <col min="115" max="115" width="7" customWidth="1"/>
    <col min="116" max="117" width="11" customWidth="1"/>
    <col min="118" max="118" width="7" customWidth="1"/>
    <col min="119" max="120" width="11" customWidth="1"/>
    <col min="121" max="121" width="7" customWidth="1"/>
    <col min="122" max="123" width="11" customWidth="1"/>
    <col min="124" max="124" width="7" customWidth="1"/>
    <col min="125" max="126" width="11" customWidth="1"/>
    <col min="127" max="127" width="7" customWidth="1"/>
    <col min="128" max="129" width="11" customWidth="1"/>
    <col min="130" max="130" width="7" customWidth="1"/>
    <col min="131" max="132" width="11" customWidth="1"/>
    <col min="133" max="133" width="7" customWidth="1"/>
    <col min="134" max="135" width="11" customWidth="1"/>
    <col min="136" max="136" width="7" customWidth="1"/>
    <col min="137" max="138" width="11" customWidth="1"/>
    <col min="139" max="139" width="7" customWidth="1"/>
    <col min="140" max="141" width="11" customWidth="1"/>
    <col min="142" max="142" width="7" customWidth="1"/>
    <col min="143" max="144" width="11" customWidth="1"/>
    <col min="145" max="145" width="7" customWidth="1"/>
    <col min="146" max="147" width="11" customWidth="1"/>
    <col min="148" max="148" width="7" customWidth="1"/>
    <col min="149" max="150" width="11" customWidth="1"/>
    <col min="151" max="151" width="7" customWidth="1"/>
    <col min="152" max="153" width="11" customWidth="1"/>
    <col min="154" max="154" width="7" customWidth="1"/>
    <col min="155" max="156" width="11" customWidth="1"/>
    <col min="157" max="157" width="7" customWidth="1"/>
    <col min="158" max="160" width="13" customWidth="1"/>
  </cols>
  <sheetData>
    <row r="1" spans="1:160" ht="37.5" customHeight="1" x14ac:dyDescent="0.3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60" ht="18" customHeight="1" x14ac:dyDescent="0.3">
      <c r="A2" s="45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</row>
    <row r="3" spans="1:160" ht="24" customHeight="1" x14ac:dyDescent="0.3">
      <c r="A3" s="46" t="s">
        <v>2</v>
      </c>
      <c r="B3" s="48" t="s">
        <v>3</v>
      </c>
      <c r="C3" s="49"/>
      <c r="D3" s="50"/>
      <c r="E3" s="48" t="s">
        <v>4</v>
      </c>
      <c r="F3" s="49"/>
      <c r="G3" s="50"/>
      <c r="H3" s="48" t="s">
        <v>5</v>
      </c>
      <c r="I3" s="49"/>
      <c r="J3" s="50"/>
      <c r="K3" s="48" t="s">
        <v>6</v>
      </c>
      <c r="L3" s="49"/>
      <c r="M3" s="50"/>
      <c r="N3" s="48" t="s">
        <v>7</v>
      </c>
      <c r="O3" s="49"/>
      <c r="P3" s="50"/>
      <c r="Q3" s="48" t="s">
        <v>8</v>
      </c>
      <c r="R3" s="49"/>
      <c r="S3" s="50"/>
      <c r="T3" s="48" t="s">
        <v>9</v>
      </c>
      <c r="U3" s="49"/>
      <c r="V3" s="50"/>
      <c r="W3" s="48" t="s">
        <v>10</v>
      </c>
      <c r="X3" s="49"/>
      <c r="Y3" s="50"/>
      <c r="Z3" s="48" t="s">
        <v>11</v>
      </c>
      <c r="AA3" s="49"/>
      <c r="AB3" s="50"/>
      <c r="AC3" s="48" t="s">
        <v>12</v>
      </c>
      <c r="AD3" s="49"/>
      <c r="AE3" s="50"/>
      <c r="AF3" s="48" t="s">
        <v>13</v>
      </c>
      <c r="AG3" s="49"/>
      <c r="AH3" s="50"/>
      <c r="AI3" s="48" t="s">
        <v>14</v>
      </c>
      <c r="AJ3" s="49"/>
      <c r="AK3" s="50"/>
      <c r="AL3" s="48" t="s">
        <v>15</v>
      </c>
      <c r="AM3" s="49"/>
      <c r="AN3" s="50"/>
      <c r="AO3" s="48" t="s">
        <v>16</v>
      </c>
      <c r="AP3" s="49"/>
      <c r="AQ3" s="50"/>
      <c r="AR3" s="48" t="s">
        <v>17</v>
      </c>
      <c r="AS3" s="49"/>
      <c r="AT3" s="50"/>
      <c r="AU3" s="48" t="s">
        <v>18</v>
      </c>
      <c r="AV3" s="49"/>
      <c r="AW3" s="50"/>
      <c r="AX3" s="48" t="s">
        <v>19</v>
      </c>
      <c r="AY3" s="49"/>
      <c r="AZ3" s="50"/>
      <c r="BA3" s="48" t="s">
        <v>20</v>
      </c>
      <c r="BB3" s="49"/>
      <c r="BC3" s="50"/>
      <c r="BD3" s="48" t="s">
        <v>21</v>
      </c>
      <c r="BE3" s="49"/>
      <c r="BF3" s="50"/>
      <c r="BG3" s="48" t="s">
        <v>22</v>
      </c>
      <c r="BH3" s="49"/>
      <c r="BI3" s="50"/>
      <c r="BJ3" s="48" t="s">
        <v>23</v>
      </c>
      <c r="BK3" s="49"/>
      <c r="BL3" s="50"/>
      <c r="BM3" s="48" t="s">
        <v>24</v>
      </c>
      <c r="BN3" s="49"/>
      <c r="BO3" s="50"/>
      <c r="BP3" s="48" t="s">
        <v>25</v>
      </c>
      <c r="BQ3" s="49"/>
      <c r="BR3" s="50"/>
      <c r="BS3" s="48" t="s">
        <v>26</v>
      </c>
      <c r="BT3" s="49"/>
      <c r="BU3" s="50"/>
      <c r="BV3" s="48" t="s">
        <v>27</v>
      </c>
      <c r="BW3" s="49"/>
      <c r="BX3" s="50"/>
      <c r="BY3" s="48" t="s">
        <v>28</v>
      </c>
      <c r="BZ3" s="49"/>
      <c r="CA3" s="50"/>
      <c r="CB3" s="48" t="s">
        <v>29</v>
      </c>
      <c r="CC3" s="49"/>
      <c r="CD3" s="50"/>
      <c r="CE3" s="48" t="s">
        <v>30</v>
      </c>
      <c r="CF3" s="49"/>
      <c r="CG3" s="50"/>
      <c r="CH3" s="48" t="s">
        <v>31</v>
      </c>
      <c r="CI3" s="49"/>
      <c r="CJ3" s="50"/>
      <c r="CK3" s="48" t="s">
        <v>32</v>
      </c>
      <c r="CL3" s="49"/>
      <c r="CM3" s="50"/>
      <c r="CN3" s="48" t="s">
        <v>33</v>
      </c>
      <c r="CO3" s="49"/>
      <c r="CP3" s="50"/>
      <c r="CQ3" s="48" t="s">
        <v>34</v>
      </c>
      <c r="CR3" s="49"/>
      <c r="CS3" s="50"/>
      <c r="CT3" s="48" t="s">
        <v>35</v>
      </c>
      <c r="CU3" s="49"/>
      <c r="CV3" s="50"/>
      <c r="CW3" s="48" t="s">
        <v>36</v>
      </c>
      <c r="CX3" s="49"/>
      <c r="CY3" s="50"/>
      <c r="CZ3" s="48" t="s">
        <v>37</v>
      </c>
      <c r="DA3" s="49"/>
      <c r="DB3" s="50"/>
      <c r="DC3" s="48" t="s">
        <v>38</v>
      </c>
      <c r="DD3" s="49"/>
      <c r="DE3" s="50"/>
      <c r="DF3" s="48" t="s">
        <v>39</v>
      </c>
      <c r="DG3" s="49"/>
      <c r="DH3" s="50"/>
      <c r="DI3" s="48" t="s">
        <v>40</v>
      </c>
      <c r="DJ3" s="49"/>
      <c r="DK3" s="50"/>
      <c r="DL3" s="48" t="s">
        <v>41</v>
      </c>
      <c r="DM3" s="49"/>
      <c r="DN3" s="50"/>
      <c r="DO3" s="48" t="s">
        <v>42</v>
      </c>
      <c r="DP3" s="49"/>
      <c r="DQ3" s="50"/>
      <c r="DR3" s="48" t="s">
        <v>43</v>
      </c>
      <c r="DS3" s="49"/>
      <c r="DT3" s="50"/>
      <c r="DU3" s="48" t="s">
        <v>44</v>
      </c>
      <c r="DV3" s="49"/>
      <c r="DW3" s="50"/>
      <c r="DX3" s="48" t="s">
        <v>45</v>
      </c>
      <c r="DY3" s="49"/>
      <c r="DZ3" s="50"/>
      <c r="EA3" s="48" t="s">
        <v>46</v>
      </c>
      <c r="EB3" s="49"/>
      <c r="EC3" s="50"/>
      <c r="ED3" s="48" t="s">
        <v>47</v>
      </c>
      <c r="EE3" s="49"/>
      <c r="EF3" s="50"/>
      <c r="EG3" s="48" t="s">
        <v>48</v>
      </c>
      <c r="EH3" s="49"/>
      <c r="EI3" s="50"/>
      <c r="EJ3" s="48" t="s">
        <v>49</v>
      </c>
      <c r="EK3" s="49"/>
      <c r="EL3" s="50"/>
      <c r="EM3" s="48" t="s">
        <v>50</v>
      </c>
      <c r="EN3" s="49"/>
      <c r="EO3" s="50"/>
      <c r="EP3" s="48" t="s">
        <v>51</v>
      </c>
      <c r="EQ3" s="49"/>
      <c r="ER3" s="50"/>
      <c r="ES3" s="48" t="s">
        <v>52</v>
      </c>
      <c r="ET3" s="49"/>
      <c r="EU3" s="50"/>
      <c r="EV3" s="48" t="s">
        <v>53</v>
      </c>
      <c r="EW3" s="49"/>
      <c r="EX3" s="50"/>
      <c r="EY3" s="48" t="s">
        <v>54</v>
      </c>
      <c r="EZ3" s="49"/>
      <c r="FA3" s="50"/>
      <c r="FB3" s="53" t="s">
        <v>55</v>
      </c>
      <c r="FC3" s="54"/>
      <c r="FD3" s="55"/>
    </row>
    <row r="4" spans="1:160" ht="18" customHeight="1" x14ac:dyDescent="0.3">
      <c r="A4" s="47"/>
      <c r="B4" s="1" t="s">
        <v>56</v>
      </c>
      <c r="C4" s="1" t="s">
        <v>57</v>
      </c>
      <c r="D4" s="1" t="s">
        <v>58</v>
      </c>
      <c r="E4" s="1" t="s">
        <v>56</v>
      </c>
      <c r="F4" s="1" t="s">
        <v>57</v>
      </c>
      <c r="G4" s="1" t="s">
        <v>58</v>
      </c>
      <c r="H4" s="1" t="s">
        <v>56</v>
      </c>
      <c r="I4" s="1" t="s">
        <v>57</v>
      </c>
      <c r="J4" s="1" t="s">
        <v>58</v>
      </c>
      <c r="K4" s="1" t="s">
        <v>56</v>
      </c>
      <c r="L4" s="1" t="s">
        <v>57</v>
      </c>
      <c r="M4" s="1" t="s">
        <v>58</v>
      </c>
      <c r="N4" s="1" t="s">
        <v>56</v>
      </c>
      <c r="O4" s="1" t="s">
        <v>57</v>
      </c>
      <c r="P4" s="1" t="s">
        <v>58</v>
      </c>
      <c r="Q4" s="1" t="s">
        <v>56</v>
      </c>
      <c r="R4" s="1" t="s">
        <v>57</v>
      </c>
      <c r="S4" s="1" t="s">
        <v>58</v>
      </c>
      <c r="T4" s="1" t="s">
        <v>56</v>
      </c>
      <c r="U4" s="1" t="s">
        <v>57</v>
      </c>
      <c r="V4" s="1" t="s">
        <v>58</v>
      </c>
      <c r="W4" s="1" t="s">
        <v>56</v>
      </c>
      <c r="X4" s="1" t="s">
        <v>57</v>
      </c>
      <c r="Y4" s="1" t="s">
        <v>58</v>
      </c>
      <c r="Z4" s="1" t="s">
        <v>56</v>
      </c>
      <c r="AA4" s="1" t="s">
        <v>57</v>
      </c>
      <c r="AB4" s="1" t="s">
        <v>58</v>
      </c>
      <c r="AC4" s="1" t="s">
        <v>56</v>
      </c>
      <c r="AD4" s="1" t="s">
        <v>57</v>
      </c>
      <c r="AE4" s="1" t="s">
        <v>58</v>
      </c>
      <c r="AF4" s="1" t="s">
        <v>56</v>
      </c>
      <c r="AG4" s="1" t="s">
        <v>57</v>
      </c>
      <c r="AH4" s="1" t="s">
        <v>58</v>
      </c>
      <c r="AI4" s="1" t="s">
        <v>56</v>
      </c>
      <c r="AJ4" s="1" t="s">
        <v>57</v>
      </c>
      <c r="AK4" s="1" t="s">
        <v>58</v>
      </c>
      <c r="AL4" s="1" t="s">
        <v>56</v>
      </c>
      <c r="AM4" s="1" t="s">
        <v>57</v>
      </c>
      <c r="AN4" s="1" t="s">
        <v>58</v>
      </c>
      <c r="AO4" s="1" t="s">
        <v>56</v>
      </c>
      <c r="AP4" s="1" t="s">
        <v>57</v>
      </c>
      <c r="AQ4" s="1" t="s">
        <v>58</v>
      </c>
      <c r="AR4" s="1" t="s">
        <v>56</v>
      </c>
      <c r="AS4" s="1" t="s">
        <v>57</v>
      </c>
      <c r="AT4" s="1" t="s">
        <v>58</v>
      </c>
      <c r="AU4" s="1" t="s">
        <v>56</v>
      </c>
      <c r="AV4" s="1" t="s">
        <v>57</v>
      </c>
      <c r="AW4" s="1" t="s">
        <v>58</v>
      </c>
      <c r="AX4" s="1" t="s">
        <v>56</v>
      </c>
      <c r="AY4" s="1" t="s">
        <v>57</v>
      </c>
      <c r="AZ4" s="1" t="s">
        <v>58</v>
      </c>
      <c r="BA4" s="1" t="s">
        <v>56</v>
      </c>
      <c r="BB4" s="1" t="s">
        <v>57</v>
      </c>
      <c r="BC4" s="1" t="s">
        <v>58</v>
      </c>
      <c r="BD4" s="1" t="s">
        <v>56</v>
      </c>
      <c r="BE4" s="1" t="s">
        <v>57</v>
      </c>
      <c r="BF4" s="1" t="s">
        <v>58</v>
      </c>
      <c r="BG4" s="1" t="s">
        <v>56</v>
      </c>
      <c r="BH4" s="1" t="s">
        <v>57</v>
      </c>
      <c r="BI4" s="1" t="s">
        <v>58</v>
      </c>
      <c r="BJ4" s="1" t="s">
        <v>56</v>
      </c>
      <c r="BK4" s="1" t="s">
        <v>57</v>
      </c>
      <c r="BL4" s="1" t="s">
        <v>58</v>
      </c>
      <c r="BM4" s="1" t="s">
        <v>56</v>
      </c>
      <c r="BN4" s="1" t="s">
        <v>57</v>
      </c>
      <c r="BO4" s="1" t="s">
        <v>58</v>
      </c>
      <c r="BP4" s="1" t="s">
        <v>56</v>
      </c>
      <c r="BQ4" s="1" t="s">
        <v>57</v>
      </c>
      <c r="BR4" s="1" t="s">
        <v>58</v>
      </c>
      <c r="BS4" s="1" t="s">
        <v>56</v>
      </c>
      <c r="BT4" s="1" t="s">
        <v>57</v>
      </c>
      <c r="BU4" s="1" t="s">
        <v>58</v>
      </c>
      <c r="BV4" s="1" t="s">
        <v>56</v>
      </c>
      <c r="BW4" s="1" t="s">
        <v>57</v>
      </c>
      <c r="BX4" s="1" t="s">
        <v>58</v>
      </c>
      <c r="BY4" s="1" t="s">
        <v>56</v>
      </c>
      <c r="BZ4" s="1" t="s">
        <v>57</v>
      </c>
      <c r="CA4" s="1" t="s">
        <v>58</v>
      </c>
      <c r="CB4" s="1" t="s">
        <v>56</v>
      </c>
      <c r="CC4" s="1" t="s">
        <v>57</v>
      </c>
      <c r="CD4" s="1" t="s">
        <v>58</v>
      </c>
      <c r="CE4" s="1" t="s">
        <v>56</v>
      </c>
      <c r="CF4" s="1" t="s">
        <v>57</v>
      </c>
      <c r="CG4" s="1" t="s">
        <v>58</v>
      </c>
      <c r="CH4" s="1" t="s">
        <v>56</v>
      </c>
      <c r="CI4" s="1" t="s">
        <v>57</v>
      </c>
      <c r="CJ4" s="1" t="s">
        <v>58</v>
      </c>
      <c r="CK4" s="1" t="s">
        <v>56</v>
      </c>
      <c r="CL4" s="1" t="s">
        <v>57</v>
      </c>
      <c r="CM4" s="1" t="s">
        <v>58</v>
      </c>
      <c r="CN4" s="1" t="s">
        <v>56</v>
      </c>
      <c r="CO4" s="1" t="s">
        <v>57</v>
      </c>
      <c r="CP4" s="1" t="s">
        <v>58</v>
      </c>
      <c r="CQ4" s="1" t="s">
        <v>56</v>
      </c>
      <c r="CR4" s="1" t="s">
        <v>57</v>
      </c>
      <c r="CS4" s="1" t="s">
        <v>58</v>
      </c>
      <c r="CT4" s="1" t="s">
        <v>56</v>
      </c>
      <c r="CU4" s="1" t="s">
        <v>57</v>
      </c>
      <c r="CV4" s="1" t="s">
        <v>58</v>
      </c>
      <c r="CW4" s="1" t="s">
        <v>56</v>
      </c>
      <c r="CX4" s="1" t="s">
        <v>57</v>
      </c>
      <c r="CY4" s="1" t="s">
        <v>58</v>
      </c>
      <c r="CZ4" s="1" t="s">
        <v>56</v>
      </c>
      <c r="DA4" s="1" t="s">
        <v>57</v>
      </c>
      <c r="DB4" s="1" t="s">
        <v>58</v>
      </c>
      <c r="DC4" s="1" t="s">
        <v>56</v>
      </c>
      <c r="DD4" s="1" t="s">
        <v>57</v>
      </c>
      <c r="DE4" s="1" t="s">
        <v>58</v>
      </c>
      <c r="DF4" s="1" t="s">
        <v>56</v>
      </c>
      <c r="DG4" s="1" t="s">
        <v>57</v>
      </c>
      <c r="DH4" s="1" t="s">
        <v>58</v>
      </c>
      <c r="DI4" s="1" t="s">
        <v>56</v>
      </c>
      <c r="DJ4" s="1" t="s">
        <v>57</v>
      </c>
      <c r="DK4" s="1" t="s">
        <v>58</v>
      </c>
      <c r="DL4" s="1" t="s">
        <v>56</v>
      </c>
      <c r="DM4" s="1" t="s">
        <v>57</v>
      </c>
      <c r="DN4" s="1" t="s">
        <v>58</v>
      </c>
      <c r="DO4" s="1" t="s">
        <v>56</v>
      </c>
      <c r="DP4" s="1" t="s">
        <v>57</v>
      </c>
      <c r="DQ4" s="1" t="s">
        <v>58</v>
      </c>
      <c r="DR4" s="1" t="s">
        <v>56</v>
      </c>
      <c r="DS4" s="1" t="s">
        <v>57</v>
      </c>
      <c r="DT4" s="1" t="s">
        <v>58</v>
      </c>
      <c r="DU4" s="1" t="s">
        <v>56</v>
      </c>
      <c r="DV4" s="1" t="s">
        <v>57</v>
      </c>
      <c r="DW4" s="1" t="s">
        <v>58</v>
      </c>
      <c r="DX4" s="1" t="s">
        <v>56</v>
      </c>
      <c r="DY4" s="1" t="s">
        <v>57</v>
      </c>
      <c r="DZ4" s="1" t="s">
        <v>58</v>
      </c>
      <c r="EA4" s="1" t="s">
        <v>56</v>
      </c>
      <c r="EB4" s="1" t="s">
        <v>57</v>
      </c>
      <c r="EC4" s="1" t="s">
        <v>58</v>
      </c>
      <c r="ED4" s="1" t="s">
        <v>56</v>
      </c>
      <c r="EE4" s="1" t="s">
        <v>57</v>
      </c>
      <c r="EF4" s="1" t="s">
        <v>58</v>
      </c>
      <c r="EG4" s="1" t="s">
        <v>56</v>
      </c>
      <c r="EH4" s="1" t="s">
        <v>57</v>
      </c>
      <c r="EI4" s="1" t="s">
        <v>58</v>
      </c>
      <c r="EJ4" s="1" t="s">
        <v>56</v>
      </c>
      <c r="EK4" s="1" t="s">
        <v>57</v>
      </c>
      <c r="EL4" s="1" t="s">
        <v>58</v>
      </c>
      <c r="EM4" s="1" t="s">
        <v>56</v>
      </c>
      <c r="EN4" s="1" t="s">
        <v>57</v>
      </c>
      <c r="EO4" s="1" t="s">
        <v>58</v>
      </c>
      <c r="EP4" s="1" t="s">
        <v>56</v>
      </c>
      <c r="EQ4" s="1" t="s">
        <v>57</v>
      </c>
      <c r="ER4" s="1" t="s">
        <v>58</v>
      </c>
      <c r="ES4" s="1" t="s">
        <v>56</v>
      </c>
      <c r="ET4" s="1" t="s">
        <v>57</v>
      </c>
      <c r="EU4" s="1" t="s">
        <v>58</v>
      </c>
      <c r="EV4" s="1" t="s">
        <v>56</v>
      </c>
      <c r="EW4" s="1" t="s">
        <v>57</v>
      </c>
      <c r="EX4" s="1" t="s">
        <v>58</v>
      </c>
      <c r="EY4" s="1" t="s">
        <v>56</v>
      </c>
      <c r="EZ4" s="1" t="s">
        <v>57</v>
      </c>
      <c r="FA4" s="1" t="s">
        <v>58</v>
      </c>
      <c r="FB4" s="2" t="s">
        <v>56</v>
      </c>
      <c r="FC4" s="2" t="s">
        <v>57</v>
      </c>
      <c r="FD4" s="2" t="s">
        <v>58</v>
      </c>
    </row>
    <row r="5" spans="1:160" ht="19.5" customHeight="1" x14ac:dyDescent="0.3">
      <c r="A5" s="3" t="s">
        <v>59</v>
      </c>
      <c r="B5" s="4">
        <f>SUMIFS('Raw Data'!$M$3:$M$5000,'Raw Data'!$P$3:$P$5000,"W1")</f>
        <v>0</v>
      </c>
      <c r="C5" s="4">
        <f>SUMIFS('Raw Data'!$N$3:$N$5000,'Raw Data'!$P$3:$P$5000,"W1")</f>
        <v>0</v>
      </c>
      <c r="D5" s="5">
        <f>SUMIFS('Raw Data'!$E$3:$E$5000,'Raw Data'!$P$3:$P$5000,"W1")</f>
        <v>0</v>
      </c>
      <c r="E5" s="4">
        <f>SUMIFS('Raw Data'!$M$3:$M$5000,'Raw Data'!$P$3:$P$5000,"W2")</f>
        <v>0</v>
      </c>
      <c r="F5" s="4">
        <f>SUMIFS('Raw Data'!$N$3:$N$5000,'Raw Data'!$P$3:$P$5000,"W2")</f>
        <v>0</v>
      </c>
      <c r="G5" s="5">
        <f>SUMIFS('Raw Data'!$E$3:$E$5000,'Raw Data'!$P$3:$P$5000,"W2")</f>
        <v>0</v>
      </c>
      <c r="H5" s="4">
        <f>SUMIFS('Raw Data'!$M$3:$M$5000,'Raw Data'!$P$3:$P$5000,"W3")</f>
        <v>0</v>
      </c>
      <c r="I5" s="4">
        <f>SUMIFS('Raw Data'!$N$3:$N$5000,'Raw Data'!$P$3:$P$5000,"W3")</f>
        <v>0</v>
      </c>
      <c r="J5" s="5">
        <f>SUMIFS('Raw Data'!$E$3:$E$5000,'Raw Data'!$P$3:$P$5000,"W3")</f>
        <v>0</v>
      </c>
      <c r="K5" s="4">
        <f>SUMIFS('Raw Data'!$M$3:$M$5000,'Raw Data'!$P$3:$P$5000,"W4")</f>
        <v>0</v>
      </c>
      <c r="L5" s="4">
        <f>SUMIFS('Raw Data'!$N$3:$N$5000,'Raw Data'!$P$3:$P$5000,"W4")</f>
        <v>0</v>
      </c>
      <c r="M5" s="5">
        <f>SUMIFS('Raw Data'!$E$3:$E$5000,'Raw Data'!$P$3:$P$5000,"W4")</f>
        <v>0</v>
      </c>
      <c r="N5" s="4">
        <f>SUMIFS('Raw Data'!$M$3:$M$5000,'Raw Data'!$P$3:$P$5000,"W5")</f>
        <v>0</v>
      </c>
      <c r="O5" s="4">
        <f>SUMIFS('Raw Data'!$N$3:$N$5000,'Raw Data'!$P$3:$P$5000,"W5")</f>
        <v>0</v>
      </c>
      <c r="P5" s="5">
        <f>SUMIFS('Raw Data'!$E$3:$E$5000,'Raw Data'!$P$3:$P$5000,"W5")</f>
        <v>0</v>
      </c>
      <c r="Q5" s="4">
        <f>SUMIFS('Raw Data'!$M$3:$M$5000,'Raw Data'!$P$3:$P$5000,"W6")</f>
        <v>0</v>
      </c>
      <c r="R5" s="4">
        <f>SUMIFS('Raw Data'!$N$3:$N$5000,'Raw Data'!$P$3:$P$5000,"W6")</f>
        <v>0</v>
      </c>
      <c r="S5" s="5">
        <f>SUMIFS('Raw Data'!$E$3:$E$5000,'Raw Data'!$P$3:$P$5000,"W6")</f>
        <v>0</v>
      </c>
      <c r="T5" s="4">
        <f>SUMIFS('Raw Data'!$M$3:$M$5000,'Raw Data'!$P$3:$P$5000,"W7")</f>
        <v>0</v>
      </c>
      <c r="U5" s="4">
        <f>SUMIFS('Raw Data'!$N$3:$N$5000,'Raw Data'!$P$3:$P$5000,"W7")</f>
        <v>0</v>
      </c>
      <c r="V5" s="5">
        <f>SUMIFS('Raw Data'!$E$3:$E$5000,'Raw Data'!$P$3:$P$5000,"W7")</f>
        <v>0</v>
      </c>
      <c r="W5" s="4">
        <f>SUMIFS('Raw Data'!$M$3:$M$5000,'Raw Data'!$P$3:$P$5000,"W8")</f>
        <v>0</v>
      </c>
      <c r="X5" s="4">
        <f>SUMIFS('Raw Data'!$N$3:$N$5000,'Raw Data'!$P$3:$P$5000,"W8")</f>
        <v>0</v>
      </c>
      <c r="Y5" s="5">
        <f>SUMIFS('Raw Data'!$E$3:$E$5000,'Raw Data'!$P$3:$P$5000,"W8")</f>
        <v>0</v>
      </c>
      <c r="Z5" s="4">
        <f>SUMIFS('Raw Data'!$M$3:$M$5000,'Raw Data'!$P$3:$P$5000,"W9")</f>
        <v>1685</v>
      </c>
      <c r="AA5" s="4">
        <f>SUMIFS('Raw Data'!$N$3:$N$5000,'Raw Data'!$P$3:$P$5000,"W9")</f>
        <v>3654</v>
      </c>
      <c r="AB5" s="5">
        <f>SUMIFS('Raw Data'!$E$3:$E$5000,'Raw Data'!$P$3:$P$5000,"W9")</f>
        <v>20</v>
      </c>
      <c r="AC5" s="4">
        <f>SUMIFS('Raw Data'!$M$3:$M$5000,'Raw Data'!$P$3:$P$5000,"W10")</f>
        <v>1148.42</v>
      </c>
      <c r="AD5" s="4">
        <f>SUMIFS('Raw Data'!$N$3:$N$5000,'Raw Data'!$P$3:$P$5000,"W10")</f>
        <v>2586.9200000000005</v>
      </c>
      <c r="AE5" s="5">
        <f>SUMIFS('Raw Data'!$E$3:$E$5000,'Raw Data'!$P$3:$P$5000,"W10")</f>
        <v>15</v>
      </c>
      <c r="AF5" s="4">
        <f>SUMIFS('Raw Data'!$M$3:$M$5000,'Raw Data'!$P$3:$P$5000,"W11")</f>
        <v>4595</v>
      </c>
      <c r="AG5" s="4">
        <f>SUMIFS('Raw Data'!$N$3:$N$5000,'Raw Data'!$P$3:$P$5000,"W11")</f>
        <v>9915</v>
      </c>
      <c r="AH5" s="5">
        <f>SUMIFS('Raw Data'!$E$3:$E$5000,'Raw Data'!$P$3:$P$5000,"W11")</f>
        <v>104</v>
      </c>
      <c r="AI5" s="4">
        <f>SUMIFS('Raw Data'!$M$3:$M$5000,'Raw Data'!$P$3:$P$5000,"W12")</f>
        <v>0</v>
      </c>
      <c r="AJ5" s="4">
        <f>SUMIFS('Raw Data'!$N$3:$N$5000,'Raw Data'!$P$3:$P$5000,"W12")</f>
        <v>0</v>
      </c>
      <c r="AK5" s="5">
        <f>SUMIFS('Raw Data'!$E$3:$E$5000,'Raw Data'!$P$3:$P$5000,"W12")</f>
        <v>0</v>
      </c>
      <c r="AL5" s="4">
        <f>SUMIFS('Raw Data'!$M$3:$M$5000,'Raw Data'!$P$3:$P$5000,"W13")</f>
        <v>0</v>
      </c>
      <c r="AM5" s="4">
        <f>SUMIFS('Raw Data'!$N$3:$N$5000,'Raw Data'!$P$3:$P$5000,"W13")</f>
        <v>0</v>
      </c>
      <c r="AN5" s="5">
        <f>SUMIFS('Raw Data'!$E$3:$E$5000,'Raw Data'!$P$3:$P$5000,"W13")</f>
        <v>0</v>
      </c>
      <c r="AO5" s="4">
        <f>SUMIFS('Raw Data'!$M$3:$M$5000,'Raw Data'!$P$3:$P$5000,"W14")</f>
        <v>0</v>
      </c>
      <c r="AP5" s="4">
        <f>SUMIFS('Raw Data'!$N$3:$N$5000,'Raw Data'!$P$3:$P$5000,"W14")</f>
        <v>0</v>
      </c>
      <c r="AQ5" s="5">
        <f>SUMIFS('Raw Data'!$E$3:$E$5000,'Raw Data'!$P$3:$P$5000,"W14")</f>
        <v>0</v>
      </c>
      <c r="AR5" s="4">
        <f>SUMIFS('Raw Data'!$M$3:$M$5000,'Raw Data'!$P$3:$P$5000,"W15")</f>
        <v>0</v>
      </c>
      <c r="AS5" s="4">
        <f>SUMIFS('Raw Data'!$N$3:$N$5000,'Raw Data'!$P$3:$P$5000,"W15")</f>
        <v>0</v>
      </c>
      <c r="AT5" s="5">
        <f>SUMIFS('Raw Data'!$E$3:$E$5000,'Raw Data'!$P$3:$P$5000,"W15")</f>
        <v>0</v>
      </c>
      <c r="AU5" s="4">
        <f>SUMIFS('Raw Data'!$M$3:$M$5000,'Raw Data'!$P$3:$P$5000,"W16")</f>
        <v>0</v>
      </c>
      <c r="AV5" s="4">
        <f>SUMIFS('Raw Data'!$N$3:$N$5000,'Raw Data'!$P$3:$P$5000,"W16")</f>
        <v>0</v>
      </c>
      <c r="AW5" s="5">
        <f>SUMIFS('Raw Data'!$E$3:$E$5000,'Raw Data'!$P$3:$P$5000,"W16")</f>
        <v>0</v>
      </c>
      <c r="AX5" s="4">
        <f>SUMIFS('Raw Data'!$M$3:$M$5000,'Raw Data'!$P$3:$P$5000,"W17")</f>
        <v>0</v>
      </c>
      <c r="AY5" s="4">
        <f>SUMIFS('Raw Data'!$N$3:$N$5000,'Raw Data'!$P$3:$P$5000,"W17")</f>
        <v>0</v>
      </c>
      <c r="AZ5" s="5">
        <f>SUMIFS('Raw Data'!$E$3:$E$5000,'Raw Data'!$P$3:$P$5000,"W17")</f>
        <v>0</v>
      </c>
      <c r="BA5" s="4">
        <f>SUMIFS('Raw Data'!$M$3:$M$5000,'Raw Data'!$P$3:$P$5000,"W18")</f>
        <v>0</v>
      </c>
      <c r="BB5" s="4">
        <f>SUMIFS('Raw Data'!$N$3:$N$5000,'Raw Data'!$P$3:$P$5000,"W18")</f>
        <v>0</v>
      </c>
      <c r="BC5" s="5">
        <f>SUMIFS('Raw Data'!$E$3:$E$5000,'Raw Data'!$P$3:$P$5000,"W18")</f>
        <v>0</v>
      </c>
      <c r="BD5" s="4">
        <f>SUMIFS('Raw Data'!$M$3:$M$5000,'Raw Data'!$P$3:$P$5000,"W19")</f>
        <v>0</v>
      </c>
      <c r="BE5" s="4">
        <f>SUMIFS('Raw Data'!$N$3:$N$5000,'Raw Data'!$P$3:$P$5000,"W19")</f>
        <v>0</v>
      </c>
      <c r="BF5" s="5">
        <f>SUMIFS('Raw Data'!$E$3:$E$5000,'Raw Data'!$P$3:$P$5000,"W19")</f>
        <v>0</v>
      </c>
      <c r="BG5" s="4">
        <f>SUMIFS('Raw Data'!$M$3:$M$5000,'Raw Data'!$P$3:$P$5000,"W20")</f>
        <v>0</v>
      </c>
      <c r="BH5" s="4">
        <f>SUMIFS('Raw Data'!$N$3:$N$5000,'Raw Data'!$P$3:$P$5000,"W20")</f>
        <v>0</v>
      </c>
      <c r="BI5" s="5">
        <f>SUMIFS('Raw Data'!$E$3:$E$5000,'Raw Data'!$P$3:$P$5000,"W20")</f>
        <v>0</v>
      </c>
      <c r="BJ5" s="4">
        <f>SUMIFS('Raw Data'!$M$3:$M$5000,'Raw Data'!$P$3:$P$5000,"W21")</f>
        <v>0</v>
      </c>
      <c r="BK5" s="4">
        <f>SUMIFS('Raw Data'!$N$3:$N$5000,'Raw Data'!$P$3:$P$5000,"W21")</f>
        <v>0</v>
      </c>
      <c r="BL5" s="5">
        <f>SUMIFS('Raw Data'!$E$3:$E$5000,'Raw Data'!$P$3:$P$5000,"W21")</f>
        <v>0</v>
      </c>
      <c r="BM5" s="4">
        <f>SUMIFS('Raw Data'!$M$3:$M$5000,'Raw Data'!$P$3:$P$5000,"W22")</f>
        <v>0</v>
      </c>
      <c r="BN5" s="4">
        <f>SUMIFS('Raw Data'!$N$3:$N$5000,'Raw Data'!$P$3:$P$5000,"W22")</f>
        <v>0</v>
      </c>
      <c r="BO5" s="5">
        <f>SUMIFS('Raw Data'!$E$3:$E$5000,'Raw Data'!$P$3:$P$5000,"W22")</f>
        <v>0</v>
      </c>
      <c r="BP5" s="4">
        <f>SUMIFS('Raw Data'!$M$3:$M$5000,'Raw Data'!$P$3:$P$5000,"W23")</f>
        <v>0</v>
      </c>
      <c r="BQ5" s="4">
        <f>SUMIFS('Raw Data'!$N$3:$N$5000,'Raw Data'!$P$3:$P$5000,"W23")</f>
        <v>0</v>
      </c>
      <c r="BR5" s="5">
        <f>SUMIFS('Raw Data'!$E$3:$E$5000,'Raw Data'!$P$3:$P$5000,"W23")</f>
        <v>0</v>
      </c>
      <c r="BS5" s="4">
        <f>SUMIFS('Raw Data'!$M$3:$M$5000,'Raw Data'!$P$3:$P$5000,"W24")</f>
        <v>0</v>
      </c>
      <c r="BT5" s="4">
        <f>SUMIFS('Raw Data'!$N$3:$N$5000,'Raw Data'!$P$3:$P$5000,"W24")</f>
        <v>0</v>
      </c>
      <c r="BU5" s="5">
        <f>SUMIFS('Raw Data'!$E$3:$E$5000,'Raw Data'!$P$3:$P$5000,"W24")</f>
        <v>0</v>
      </c>
      <c r="BV5" s="4">
        <f>SUMIFS('Raw Data'!$M$3:$M$5000,'Raw Data'!$P$3:$P$5000,"W25")</f>
        <v>0</v>
      </c>
      <c r="BW5" s="4">
        <f>SUMIFS('Raw Data'!$N$3:$N$5000,'Raw Data'!$P$3:$P$5000,"W25")</f>
        <v>0</v>
      </c>
      <c r="BX5" s="5">
        <f>SUMIFS('Raw Data'!$E$3:$E$5000,'Raw Data'!$P$3:$P$5000,"W25")</f>
        <v>0</v>
      </c>
      <c r="BY5" s="4">
        <f>SUMIFS('Raw Data'!$M$3:$M$5000,'Raw Data'!$P$3:$P$5000,"W26")</f>
        <v>0</v>
      </c>
      <c r="BZ5" s="4">
        <f>SUMIFS('Raw Data'!$N$3:$N$5000,'Raw Data'!$P$3:$P$5000,"W26")</f>
        <v>0</v>
      </c>
      <c r="CA5" s="5">
        <f>SUMIFS('Raw Data'!$E$3:$E$5000,'Raw Data'!$P$3:$P$5000,"W26")</f>
        <v>0</v>
      </c>
      <c r="CB5" s="4">
        <f>SUMIFS('Raw Data'!$M$3:$M$5000,'Raw Data'!$P$3:$P$5000,"W27")</f>
        <v>0</v>
      </c>
      <c r="CC5" s="4">
        <f>SUMIFS('Raw Data'!$N$3:$N$5000,'Raw Data'!$P$3:$P$5000,"W27")</f>
        <v>0</v>
      </c>
      <c r="CD5" s="5">
        <f>SUMIFS('Raw Data'!$E$3:$E$5000,'Raw Data'!$P$3:$P$5000,"W27")</f>
        <v>0</v>
      </c>
      <c r="CE5" s="4">
        <f>SUMIFS('Raw Data'!$M$3:$M$5000,'Raw Data'!$P$3:$P$5000,"W28")</f>
        <v>0</v>
      </c>
      <c r="CF5" s="4">
        <f>SUMIFS('Raw Data'!$N$3:$N$5000,'Raw Data'!$P$3:$P$5000,"W28")</f>
        <v>0</v>
      </c>
      <c r="CG5" s="5">
        <f>SUMIFS('Raw Data'!$E$3:$E$5000,'Raw Data'!$P$3:$P$5000,"W28")</f>
        <v>0</v>
      </c>
      <c r="CH5" s="4">
        <f>SUMIFS('Raw Data'!$M$3:$M$5000,'Raw Data'!$P$3:$P$5000,"W29")</f>
        <v>0</v>
      </c>
      <c r="CI5" s="4">
        <f>SUMIFS('Raw Data'!$N$3:$N$5000,'Raw Data'!$P$3:$P$5000,"W29")</f>
        <v>0</v>
      </c>
      <c r="CJ5" s="5">
        <f>SUMIFS('Raw Data'!$E$3:$E$5000,'Raw Data'!$P$3:$P$5000,"W29")</f>
        <v>0</v>
      </c>
      <c r="CK5" s="4">
        <f>SUMIFS('Raw Data'!$M$3:$M$5000,'Raw Data'!$P$3:$P$5000,"W30")</f>
        <v>0</v>
      </c>
      <c r="CL5" s="4">
        <f>SUMIFS('Raw Data'!$N$3:$N$5000,'Raw Data'!$P$3:$P$5000,"W30")</f>
        <v>0</v>
      </c>
      <c r="CM5" s="5">
        <f>SUMIFS('Raw Data'!$E$3:$E$5000,'Raw Data'!$P$3:$P$5000,"W30")</f>
        <v>0</v>
      </c>
      <c r="CN5" s="4">
        <f>SUMIFS('Raw Data'!$M$3:$M$5000,'Raw Data'!$P$3:$P$5000,"W31")</f>
        <v>0</v>
      </c>
      <c r="CO5" s="4">
        <f>SUMIFS('Raw Data'!$N$3:$N$5000,'Raw Data'!$P$3:$P$5000,"W31")</f>
        <v>0</v>
      </c>
      <c r="CP5" s="5">
        <f>SUMIFS('Raw Data'!$E$3:$E$5000,'Raw Data'!$P$3:$P$5000,"W31")</f>
        <v>0</v>
      </c>
      <c r="CQ5" s="4">
        <f>SUMIFS('Raw Data'!$M$3:$M$5000,'Raw Data'!$P$3:$P$5000,"W32")</f>
        <v>0</v>
      </c>
      <c r="CR5" s="4">
        <f>SUMIFS('Raw Data'!$N$3:$N$5000,'Raw Data'!$P$3:$P$5000,"W32")</f>
        <v>0</v>
      </c>
      <c r="CS5" s="5">
        <f>SUMIFS('Raw Data'!$E$3:$E$5000,'Raw Data'!$P$3:$P$5000,"W32")</f>
        <v>0</v>
      </c>
      <c r="CT5" s="4">
        <f>SUMIFS('Raw Data'!$M$3:$M$5000,'Raw Data'!$P$3:$P$5000,"W33")</f>
        <v>0</v>
      </c>
      <c r="CU5" s="4">
        <f>SUMIFS('Raw Data'!$N$3:$N$5000,'Raw Data'!$P$3:$P$5000,"W33")</f>
        <v>0</v>
      </c>
      <c r="CV5" s="5">
        <f>SUMIFS('Raw Data'!$E$3:$E$5000,'Raw Data'!$P$3:$P$5000,"W33")</f>
        <v>0</v>
      </c>
      <c r="CW5" s="4">
        <f>SUMIFS('Raw Data'!$M$3:$M$5000,'Raw Data'!$P$3:$P$5000,"W34")</f>
        <v>0</v>
      </c>
      <c r="CX5" s="4">
        <f>SUMIFS('Raw Data'!$N$3:$N$5000,'Raw Data'!$P$3:$P$5000,"W34")</f>
        <v>0</v>
      </c>
      <c r="CY5" s="5">
        <f>SUMIFS('Raw Data'!$E$3:$E$5000,'Raw Data'!$P$3:$P$5000,"W34")</f>
        <v>0</v>
      </c>
      <c r="CZ5" s="4">
        <f>SUMIFS('Raw Data'!$M$3:$M$5000,'Raw Data'!$P$3:$P$5000,"W35")</f>
        <v>0</v>
      </c>
      <c r="DA5" s="4">
        <f>SUMIFS('Raw Data'!$N$3:$N$5000,'Raw Data'!$P$3:$P$5000,"W35")</f>
        <v>0</v>
      </c>
      <c r="DB5" s="5">
        <f>SUMIFS('Raw Data'!$E$3:$E$5000,'Raw Data'!$P$3:$P$5000,"W35")</f>
        <v>0</v>
      </c>
      <c r="DC5" s="4">
        <f>SUMIFS('Raw Data'!$M$3:$M$5000,'Raw Data'!$P$3:$P$5000,"W36")</f>
        <v>0</v>
      </c>
      <c r="DD5" s="4">
        <f>SUMIFS('Raw Data'!$N$3:$N$5000,'Raw Data'!$P$3:$P$5000,"W36")</f>
        <v>0</v>
      </c>
      <c r="DE5" s="5">
        <f>SUMIFS('Raw Data'!$E$3:$E$5000,'Raw Data'!$P$3:$P$5000,"W36")</f>
        <v>0</v>
      </c>
      <c r="DF5" s="4">
        <f>SUMIFS('Raw Data'!$M$3:$M$5000,'Raw Data'!$P$3:$P$5000,"W37")</f>
        <v>0</v>
      </c>
      <c r="DG5" s="4">
        <f>SUMIFS('Raw Data'!$N$3:$N$5000,'Raw Data'!$P$3:$P$5000,"W37")</f>
        <v>0</v>
      </c>
      <c r="DH5" s="5">
        <f>SUMIFS('Raw Data'!$E$3:$E$5000,'Raw Data'!$P$3:$P$5000,"W37")</f>
        <v>0</v>
      </c>
      <c r="DI5" s="4">
        <f>SUMIFS('Raw Data'!$M$3:$M$5000,'Raw Data'!$P$3:$P$5000,"W38")</f>
        <v>0</v>
      </c>
      <c r="DJ5" s="4">
        <f>SUMIFS('Raw Data'!$N$3:$N$5000,'Raw Data'!$P$3:$P$5000,"W38")</f>
        <v>0</v>
      </c>
      <c r="DK5" s="5">
        <f>SUMIFS('Raw Data'!$E$3:$E$5000,'Raw Data'!$P$3:$P$5000,"W38")</f>
        <v>0</v>
      </c>
      <c r="DL5" s="4">
        <f>SUMIFS('Raw Data'!$M$3:$M$5000,'Raw Data'!$P$3:$P$5000,"W39")</f>
        <v>0</v>
      </c>
      <c r="DM5" s="4">
        <f>SUMIFS('Raw Data'!$N$3:$N$5000,'Raw Data'!$P$3:$P$5000,"W39")</f>
        <v>0</v>
      </c>
      <c r="DN5" s="5">
        <f>SUMIFS('Raw Data'!$E$3:$E$5000,'Raw Data'!$P$3:$P$5000,"W39")</f>
        <v>0</v>
      </c>
      <c r="DO5" s="4">
        <f>SUMIFS('Raw Data'!$M$3:$M$5000,'Raw Data'!$P$3:$P$5000,"W40")</f>
        <v>0</v>
      </c>
      <c r="DP5" s="4">
        <f>SUMIFS('Raw Data'!$N$3:$N$5000,'Raw Data'!$P$3:$P$5000,"W40")</f>
        <v>0</v>
      </c>
      <c r="DQ5" s="5">
        <f>SUMIFS('Raw Data'!$E$3:$E$5000,'Raw Data'!$P$3:$P$5000,"W40")</f>
        <v>0</v>
      </c>
      <c r="DR5" s="4">
        <f>SUMIFS('Raw Data'!$M$3:$M$5000,'Raw Data'!$P$3:$P$5000,"W41")</f>
        <v>0</v>
      </c>
      <c r="DS5" s="4">
        <f>SUMIFS('Raw Data'!$N$3:$N$5000,'Raw Data'!$P$3:$P$5000,"W41")</f>
        <v>0</v>
      </c>
      <c r="DT5" s="5">
        <f>SUMIFS('Raw Data'!$E$3:$E$5000,'Raw Data'!$P$3:$P$5000,"W41")</f>
        <v>0</v>
      </c>
      <c r="DU5" s="4">
        <f>SUMIFS('Raw Data'!$M$3:$M$5000,'Raw Data'!$P$3:$P$5000,"W42")</f>
        <v>0</v>
      </c>
      <c r="DV5" s="4">
        <f>SUMIFS('Raw Data'!$N$3:$N$5000,'Raw Data'!$P$3:$P$5000,"W42")</f>
        <v>0</v>
      </c>
      <c r="DW5" s="5">
        <f>SUMIFS('Raw Data'!$E$3:$E$5000,'Raw Data'!$P$3:$P$5000,"W42")</f>
        <v>0</v>
      </c>
      <c r="DX5" s="4">
        <f>SUMIFS('Raw Data'!$M$3:$M$5000,'Raw Data'!$P$3:$P$5000,"W43")</f>
        <v>0</v>
      </c>
      <c r="DY5" s="4">
        <f>SUMIFS('Raw Data'!$N$3:$N$5000,'Raw Data'!$P$3:$P$5000,"W43")</f>
        <v>0</v>
      </c>
      <c r="DZ5" s="5">
        <f>SUMIFS('Raw Data'!$E$3:$E$5000,'Raw Data'!$P$3:$P$5000,"W43")</f>
        <v>0</v>
      </c>
      <c r="EA5" s="4">
        <f>SUMIFS('Raw Data'!$M$3:$M$5000,'Raw Data'!$P$3:$P$5000,"W44")</f>
        <v>0</v>
      </c>
      <c r="EB5" s="4">
        <f>SUMIFS('Raw Data'!$N$3:$N$5000,'Raw Data'!$P$3:$P$5000,"W44")</f>
        <v>0</v>
      </c>
      <c r="EC5" s="5">
        <f>SUMIFS('Raw Data'!$E$3:$E$5000,'Raw Data'!$P$3:$P$5000,"W44")</f>
        <v>0</v>
      </c>
      <c r="ED5" s="4">
        <f>SUMIFS('Raw Data'!$M$3:$M$5000,'Raw Data'!$P$3:$P$5000,"W45")</f>
        <v>0</v>
      </c>
      <c r="EE5" s="4">
        <f>SUMIFS('Raw Data'!$N$3:$N$5000,'Raw Data'!$P$3:$P$5000,"W45")</f>
        <v>0</v>
      </c>
      <c r="EF5" s="5">
        <f>SUMIFS('Raw Data'!$E$3:$E$5000,'Raw Data'!$P$3:$P$5000,"W45")</f>
        <v>0</v>
      </c>
      <c r="EG5" s="4">
        <f>SUMIFS('Raw Data'!$M$3:$M$5000,'Raw Data'!$P$3:$P$5000,"W46")</f>
        <v>0</v>
      </c>
      <c r="EH5" s="4">
        <f>SUMIFS('Raw Data'!$N$3:$N$5000,'Raw Data'!$P$3:$P$5000,"W46")</f>
        <v>0</v>
      </c>
      <c r="EI5" s="5">
        <f>SUMIFS('Raw Data'!$E$3:$E$5000,'Raw Data'!$P$3:$P$5000,"W46")</f>
        <v>0</v>
      </c>
      <c r="EJ5" s="4">
        <f>SUMIFS('Raw Data'!$M$3:$M$5000,'Raw Data'!$P$3:$P$5000,"W47")</f>
        <v>0</v>
      </c>
      <c r="EK5" s="4">
        <f>SUMIFS('Raw Data'!$N$3:$N$5000,'Raw Data'!$P$3:$P$5000,"W47")</f>
        <v>0</v>
      </c>
      <c r="EL5" s="5">
        <f>SUMIFS('Raw Data'!$E$3:$E$5000,'Raw Data'!$P$3:$P$5000,"W47")</f>
        <v>0</v>
      </c>
      <c r="EM5" s="4">
        <f>SUMIFS('Raw Data'!$M$3:$M$5000,'Raw Data'!$P$3:$P$5000,"W48")</f>
        <v>0</v>
      </c>
      <c r="EN5" s="4">
        <f>SUMIFS('Raw Data'!$N$3:$N$5000,'Raw Data'!$P$3:$P$5000,"W48")</f>
        <v>0</v>
      </c>
      <c r="EO5" s="5">
        <f>SUMIFS('Raw Data'!$E$3:$E$5000,'Raw Data'!$P$3:$P$5000,"W48")</f>
        <v>0</v>
      </c>
      <c r="EP5" s="4">
        <f>SUMIFS('Raw Data'!$M$3:$M$5000,'Raw Data'!$P$3:$P$5000,"W49")</f>
        <v>0</v>
      </c>
      <c r="EQ5" s="4">
        <f>SUMIFS('Raw Data'!$N$3:$N$5000,'Raw Data'!$P$3:$P$5000,"W49")</f>
        <v>0</v>
      </c>
      <c r="ER5" s="5">
        <f>SUMIFS('Raw Data'!$E$3:$E$5000,'Raw Data'!$P$3:$P$5000,"W49")</f>
        <v>0</v>
      </c>
      <c r="ES5" s="4">
        <f>SUMIFS('Raw Data'!$M$3:$M$5000,'Raw Data'!$P$3:$P$5000,"W50")</f>
        <v>0</v>
      </c>
      <c r="ET5" s="4">
        <f>SUMIFS('Raw Data'!$N$3:$N$5000,'Raw Data'!$P$3:$P$5000,"W50")</f>
        <v>0</v>
      </c>
      <c r="EU5" s="5">
        <f>SUMIFS('Raw Data'!$E$3:$E$5000,'Raw Data'!$P$3:$P$5000,"W50")</f>
        <v>0</v>
      </c>
      <c r="EV5" s="4">
        <f>SUMIFS('Raw Data'!$M$3:$M$5000,'Raw Data'!$P$3:$P$5000,"W51")</f>
        <v>0</v>
      </c>
      <c r="EW5" s="4">
        <f>SUMIFS('Raw Data'!$N$3:$N$5000,'Raw Data'!$P$3:$P$5000,"W51")</f>
        <v>0</v>
      </c>
      <c r="EX5" s="5">
        <f>SUMIFS('Raw Data'!$E$3:$E$5000,'Raw Data'!$P$3:$P$5000,"W51")</f>
        <v>0</v>
      </c>
      <c r="EY5" s="4">
        <f>SUMIFS('Raw Data'!$M$3:$M$5000,'Raw Data'!$P$3:$P$5000,"W52")</f>
        <v>0</v>
      </c>
      <c r="EZ5" s="4">
        <f>SUMIFS('Raw Data'!$N$3:$N$5000,'Raw Data'!$P$3:$P$5000,"W52")</f>
        <v>0</v>
      </c>
      <c r="FA5" s="5">
        <f>SUMIFS('Raw Data'!$E$3:$E$5000,'Raw Data'!$P$3:$P$5000,"W52")</f>
        <v>0</v>
      </c>
      <c r="FB5" s="6">
        <f t="shared" ref="FB5:FD5" si="0">B5+E5+H5+K5+N5+Q5+T5+W5+Z5+AC5+AF5+AI5+AL5+AO5+AR5+AU5+AX5+BA5+BD5+BG5+BJ5+BM5+BP5+BS5+BV5+BY5+CB5+CE5+CH5+CK5+CN5+CQ5+CT5+CW5+CZ5+DC5+DF5+DI5+DL5+DO5+DR5+DU5+DX5+EA5+ED5+EG5+EJ5+EM5+EP5+ES5+EV5+EY5</f>
        <v>7428.42</v>
      </c>
      <c r="FC5" s="6">
        <f t="shared" si="0"/>
        <v>16155.92</v>
      </c>
      <c r="FD5" s="7">
        <f t="shared" si="0"/>
        <v>139</v>
      </c>
    </row>
    <row r="6" spans="1:160" ht="19.5" customHeight="1" x14ac:dyDescent="0.3">
      <c r="A6" s="8" t="s">
        <v>60</v>
      </c>
      <c r="B6" s="9">
        <f>SUMIFS('Raw Data'!$M$3:$M$5000,'Raw Data'!$P$3:$P$5000,"W1",'Raw Data'!$F$3:$F$5000,"*green return*")</f>
        <v>0</v>
      </c>
      <c r="C6" s="9">
        <f>SUMIFS('Raw Data'!$N$3:$N$5000,'Raw Data'!$P$3:$P$5000,"W1",'Raw Data'!$F$3:$F$5000,"*green return*")</f>
        <v>0</v>
      </c>
      <c r="D6" s="10">
        <f>SUMIFS('Raw Data'!$E$3:$E$5000,'Raw Data'!$P$3:$P$5000,"W1",'Raw Data'!$F$3:$F$5000,"*green return*")</f>
        <v>0</v>
      </c>
      <c r="E6" s="9">
        <f>SUMIFS('Raw Data'!$M$3:$M$5000,'Raw Data'!$P$3:$P$5000,"W2",'Raw Data'!$F$3:$F$5000,"*green return*")</f>
        <v>0</v>
      </c>
      <c r="F6" s="9">
        <f>SUMIFS('Raw Data'!$N$3:$N$5000,'Raw Data'!$P$3:$P$5000,"W2",'Raw Data'!$F$3:$F$5000,"*green return*")</f>
        <v>0</v>
      </c>
      <c r="G6" s="10">
        <f>SUMIFS('Raw Data'!$E$3:$E$5000,'Raw Data'!$P$3:$P$5000,"W2",'Raw Data'!$F$3:$F$5000,"*green return*")</f>
        <v>0</v>
      </c>
      <c r="H6" s="9">
        <f>SUMIFS('Raw Data'!$M$3:$M$5000,'Raw Data'!$P$3:$P$5000,"W3",'Raw Data'!$F$3:$F$5000,"*green return*")</f>
        <v>0</v>
      </c>
      <c r="I6" s="9">
        <f>SUMIFS('Raw Data'!$N$3:$N$5000,'Raw Data'!$P$3:$P$5000,"W3",'Raw Data'!$F$3:$F$5000,"*green return*")</f>
        <v>0</v>
      </c>
      <c r="J6" s="10">
        <f>SUMIFS('Raw Data'!$E$3:$E$5000,'Raw Data'!$P$3:$P$5000,"W3",'Raw Data'!$F$3:$F$5000,"*green return*")</f>
        <v>0</v>
      </c>
      <c r="K6" s="9">
        <f>SUMIFS('Raw Data'!$M$3:$M$5000,'Raw Data'!$P$3:$P$5000,"W4",'Raw Data'!$F$3:$F$5000,"*green return*")</f>
        <v>0</v>
      </c>
      <c r="L6" s="9">
        <f>SUMIFS('Raw Data'!$N$3:$N$5000,'Raw Data'!$P$3:$P$5000,"W4",'Raw Data'!$F$3:$F$5000,"*green return*")</f>
        <v>0</v>
      </c>
      <c r="M6" s="10">
        <f>SUMIFS('Raw Data'!$E$3:$E$5000,'Raw Data'!$P$3:$P$5000,"W4",'Raw Data'!$F$3:$F$5000,"*green return*")</f>
        <v>0</v>
      </c>
      <c r="N6" s="9">
        <f>SUMIFS('Raw Data'!$M$3:$M$5000,'Raw Data'!$P$3:$P$5000,"W5",'Raw Data'!$F$3:$F$5000,"*green return*")</f>
        <v>0</v>
      </c>
      <c r="O6" s="9">
        <f>SUMIFS('Raw Data'!$N$3:$N$5000,'Raw Data'!$P$3:$P$5000,"W5",'Raw Data'!$F$3:$F$5000,"*green return*")</f>
        <v>0</v>
      </c>
      <c r="P6" s="10">
        <f>SUMIFS('Raw Data'!$E$3:$E$5000,'Raw Data'!$P$3:$P$5000,"W5",'Raw Data'!$F$3:$F$5000,"*green return*")</f>
        <v>0</v>
      </c>
      <c r="Q6" s="9">
        <f>SUMIFS('Raw Data'!$M$3:$M$5000,'Raw Data'!$P$3:$P$5000,"W6",'Raw Data'!$F$3:$F$5000,"*green return*")</f>
        <v>0</v>
      </c>
      <c r="R6" s="9">
        <f>SUMIFS('Raw Data'!$N$3:$N$5000,'Raw Data'!$P$3:$P$5000,"W6",'Raw Data'!$F$3:$F$5000,"*green return*")</f>
        <v>0</v>
      </c>
      <c r="S6" s="10">
        <f>SUMIFS('Raw Data'!$E$3:$E$5000,'Raw Data'!$P$3:$P$5000,"W6",'Raw Data'!$F$3:$F$5000,"*green return*")</f>
        <v>0</v>
      </c>
      <c r="T6" s="9">
        <f>SUMIFS('Raw Data'!$M$3:$M$5000,'Raw Data'!$P$3:$P$5000,"W7",'Raw Data'!$F$3:$F$5000,"*green return*")</f>
        <v>0</v>
      </c>
      <c r="U6" s="9">
        <f>SUMIFS('Raw Data'!$N$3:$N$5000,'Raw Data'!$P$3:$P$5000,"W7",'Raw Data'!$F$3:$F$5000,"*green return*")</f>
        <v>0</v>
      </c>
      <c r="V6" s="10">
        <f>SUMIFS('Raw Data'!$E$3:$E$5000,'Raw Data'!$P$3:$P$5000,"W7",'Raw Data'!$F$3:$F$5000,"*green return*")</f>
        <v>0</v>
      </c>
      <c r="W6" s="9">
        <f>SUMIFS('Raw Data'!$M$3:$M$5000,'Raw Data'!$P$3:$P$5000,"W8",'Raw Data'!$F$3:$F$5000,"*green return*")</f>
        <v>0</v>
      </c>
      <c r="X6" s="9">
        <f>SUMIFS('Raw Data'!$N$3:$N$5000,'Raw Data'!$P$3:$P$5000,"W8",'Raw Data'!$F$3:$F$5000,"*green return*")</f>
        <v>0</v>
      </c>
      <c r="Y6" s="10">
        <f>SUMIFS('Raw Data'!$E$3:$E$5000,'Raw Data'!$P$3:$P$5000,"W8",'Raw Data'!$F$3:$F$5000,"*green return*")</f>
        <v>0</v>
      </c>
      <c r="Z6" s="9">
        <f>SUMIFS('Raw Data'!$M$3:$M$5000,'Raw Data'!$P$3:$P$5000,"W9",'Raw Data'!$F$3:$F$5000,"*green return*")</f>
        <v>0</v>
      </c>
      <c r="AA6" s="9">
        <f>SUMIFS('Raw Data'!$N$3:$N$5000,'Raw Data'!$P$3:$P$5000,"W9",'Raw Data'!$F$3:$F$5000,"*green return*")</f>
        <v>0</v>
      </c>
      <c r="AB6" s="10">
        <f>SUMIFS('Raw Data'!$E$3:$E$5000,'Raw Data'!$P$3:$P$5000,"W9",'Raw Data'!$F$3:$F$5000,"*green return*")</f>
        <v>0</v>
      </c>
      <c r="AC6" s="9">
        <f>SUMIFS('Raw Data'!$M$3:$M$5000,'Raw Data'!$P$3:$P$5000,"W10",'Raw Data'!$F$3:$F$5000,"*green return*")</f>
        <v>87.32</v>
      </c>
      <c r="AD6" s="9">
        <f>SUMIFS('Raw Data'!$N$3:$N$5000,'Raw Data'!$P$3:$P$5000,"W10",'Raw Data'!$F$3:$F$5000,"*green return*")</f>
        <v>0</v>
      </c>
      <c r="AE6" s="10">
        <f>SUMIFS('Raw Data'!$E$3:$E$5000,'Raw Data'!$P$3:$P$5000,"W10",'Raw Data'!$F$3:$F$5000,"*green return*")</f>
        <v>1</v>
      </c>
      <c r="AF6" s="9">
        <f>SUMIFS('Raw Data'!$M$3:$M$5000,'Raw Data'!$P$3:$P$5000,"W11",'Raw Data'!$F$3:$F$5000,"*green return*")</f>
        <v>0</v>
      </c>
      <c r="AG6" s="9">
        <f>SUMIFS('Raw Data'!$N$3:$N$5000,'Raw Data'!$P$3:$P$5000,"W11",'Raw Data'!$F$3:$F$5000,"*green return*")</f>
        <v>0</v>
      </c>
      <c r="AH6" s="10">
        <f>SUMIFS('Raw Data'!$E$3:$E$5000,'Raw Data'!$P$3:$P$5000,"W11",'Raw Data'!$F$3:$F$5000,"*green return*")</f>
        <v>0</v>
      </c>
      <c r="AI6" s="9">
        <f>SUMIFS('Raw Data'!$M$3:$M$5000,'Raw Data'!$P$3:$P$5000,"W12",'Raw Data'!$F$3:$F$5000,"*green return*")</f>
        <v>0</v>
      </c>
      <c r="AJ6" s="9">
        <f>SUMIFS('Raw Data'!$N$3:$N$5000,'Raw Data'!$P$3:$P$5000,"W12",'Raw Data'!$F$3:$F$5000,"*green return*")</f>
        <v>0</v>
      </c>
      <c r="AK6" s="10">
        <f>SUMIFS('Raw Data'!$E$3:$E$5000,'Raw Data'!$P$3:$P$5000,"W12",'Raw Data'!$F$3:$F$5000,"*green return*")</f>
        <v>0</v>
      </c>
      <c r="AL6" s="9">
        <f>SUMIFS('Raw Data'!$M$3:$M$5000,'Raw Data'!$P$3:$P$5000,"W13",'Raw Data'!$F$3:$F$5000,"*green return*")</f>
        <v>0</v>
      </c>
      <c r="AM6" s="9">
        <f>SUMIFS('Raw Data'!$N$3:$N$5000,'Raw Data'!$P$3:$P$5000,"W13",'Raw Data'!$F$3:$F$5000,"*green return*")</f>
        <v>0</v>
      </c>
      <c r="AN6" s="10">
        <f>SUMIFS('Raw Data'!$E$3:$E$5000,'Raw Data'!$P$3:$P$5000,"W13",'Raw Data'!$F$3:$F$5000,"*green return*")</f>
        <v>0</v>
      </c>
      <c r="AO6" s="9">
        <f>SUMIFS('Raw Data'!$M$3:$M$5000,'Raw Data'!$P$3:$P$5000,"W14",'Raw Data'!$F$3:$F$5000,"*green return*")</f>
        <v>0</v>
      </c>
      <c r="AP6" s="9">
        <f>SUMIFS('Raw Data'!$N$3:$N$5000,'Raw Data'!$P$3:$P$5000,"W14",'Raw Data'!$F$3:$F$5000,"*green return*")</f>
        <v>0</v>
      </c>
      <c r="AQ6" s="10">
        <f>SUMIFS('Raw Data'!$E$3:$E$5000,'Raw Data'!$P$3:$P$5000,"W14",'Raw Data'!$F$3:$F$5000,"*green return*")</f>
        <v>0</v>
      </c>
      <c r="AR6" s="9">
        <f>SUMIFS('Raw Data'!$M$3:$M$5000,'Raw Data'!$P$3:$P$5000,"W15",'Raw Data'!$F$3:$F$5000,"*green return*")</f>
        <v>0</v>
      </c>
      <c r="AS6" s="9">
        <f>SUMIFS('Raw Data'!$N$3:$N$5000,'Raw Data'!$P$3:$P$5000,"W15",'Raw Data'!$F$3:$F$5000,"*green return*")</f>
        <v>0</v>
      </c>
      <c r="AT6" s="10">
        <f>SUMIFS('Raw Data'!$E$3:$E$5000,'Raw Data'!$P$3:$P$5000,"W15",'Raw Data'!$F$3:$F$5000,"*green return*")</f>
        <v>0</v>
      </c>
      <c r="AU6" s="9">
        <f>SUMIFS('Raw Data'!$M$3:$M$5000,'Raw Data'!$P$3:$P$5000,"W16",'Raw Data'!$F$3:$F$5000,"*green return*")</f>
        <v>0</v>
      </c>
      <c r="AV6" s="9">
        <f>SUMIFS('Raw Data'!$N$3:$N$5000,'Raw Data'!$P$3:$P$5000,"W16",'Raw Data'!$F$3:$F$5000,"*green return*")</f>
        <v>0</v>
      </c>
      <c r="AW6" s="10">
        <f>SUMIFS('Raw Data'!$E$3:$E$5000,'Raw Data'!$P$3:$P$5000,"W16",'Raw Data'!$F$3:$F$5000,"*green return*")</f>
        <v>0</v>
      </c>
      <c r="AX6" s="9">
        <f>SUMIFS('Raw Data'!$M$3:$M$5000,'Raw Data'!$P$3:$P$5000,"W17",'Raw Data'!$F$3:$F$5000,"*green return*")</f>
        <v>0</v>
      </c>
      <c r="AY6" s="9">
        <f>SUMIFS('Raw Data'!$N$3:$N$5000,'Raw Data'!$P$3:$P$5000,"W17",'Raw Data'!$F$3:$F$5000,"*green return*")</f>
        <v>0</v>
      </c>
      <c r="AZ6" s="10">
        <f>SUMIFS('Raw Data'!$E$3:$E$5000,'Raw Data'!$P$3:$P$5000,"W17",'Raw Data'!$F$3:$F$5000,"*green return*")</f>
        <v>0</v>
      </c>
      <c r="BA6" s="9">
        <f>SUMIFS('Raw Data'!$M$3:$M$5000,'Raw Data'!$P$3:$P$5000,"W18",'Raw Data'!$F$3:$F$5000,"*green return*")</f>
        <v>0</v>
      </c>
      <c r="BB6" s="9">
        <f>SUMIFS('Raw Data'!$N$3:$N$5000,'Raw Data'!$P$3:$P$5000,"W18",'Raw Data'!$F$3:$F$5000,"*green return*")</f>
        <v>0</v>
      </c>
      <c r="BC6" s="10">
        <f>SUMIFS('Raw Data'!$E$3:$E$5000,'Raw Data'!$P$3:$P$5000,"W18",'Raw Data'!$F$3:$F$5000,"*green return*")</f>
        <v>0</v>
      </c>
      <c r="BD6" s="9">
        <f>SUMIFS('Raw Data'!$M$3:$M$5000,'Raw Data'!$P$3:$P$5000,"W19",'Raw Data'!$F$3:$F$5000,"*green return*")</f>
        <v>0</v>
      </c>
      <c r="BE6" s="9">
        <f>SUMIFS('Raw Data'!$N$3:$N$5000,'Raw Data'!$P$3:$P$5000,"W19",'Raw Data'!$F$3:$F$5000,"*green return*")</f>
        <v>0</v>
      </c>
      <c r="BF6" s="10">
        <f>SUMIFS('Raw Data'!$E$3:$E$5000,'Raw Data'!$P$3:$P$5000,"W19",'Raw Data'!$F$3:$F$5000,"*green return*")</f>
        <v>0</v>
      </c>
      <c r="BG6" s="9">
        <f>SUMIFS('Raw Data'!$M$3:$M$5000,'Raw Data'!$P$3:$P$5000,"W20",'Raw Data'!$F$3:$F$5000,"*green return*")</f>
        <v>0</v>
      </c>
      <c r="BH6" s="9">
        <f>SUMIFS('Raw Data'!$N$3:$N$5000,'Raw Data'!$P$3:$P$5000,"W20",'Raw Data'!$F$3:$F$5000,"*green return*")</f>
        <v>0</v>
      </c>
      <c r="BI6" s="10">
        <f>SUMIFS('Raw Data'!$E$3:$E$5000,'Raw Data'!$P$3:$P$5000,"W20",'Raw Data'!$F$3:$F$5000,"*green return*")</f>
        <v>0</v>
      </c>
      <c r="BJ6" s="9">
        <f>SUMIFS('Raw Data'!$M$3:$M$5000,'Raw Data'!$P$3:$P$5000,"W21",'Raw Data'!$F$3:$F$5000,"*green return*")</f>
        <v>0</v>
      </c>
      <c r="BK6" s="9">
        <f>SUMIFS('Raw Data'!$N$3:$N$5000,'Raw Data'!$P$3:$P$5000,"W21",'Raw Data'!$F$3:$F$5000,"*green return*")</f>
        <v>0</v>
      </c>
      <c r="BL6" s="10">
        <f>SUMIFS('Raw Data'!$E$3:$E$5000,'Raw Data'!$P$3:$P$5000,"W21",'Raw Data'!$F$3:$F$5000,"*green return*")</f>
        <v>0</v>
      </c>
      <c r="BM6" s="9">
        <f>SUMIFS('Raw Data'!$M$3:$M$5000,'Raw Data'!$P$3:$P$5000,"W22",'Raw Data'!$F$3:$F$5000,"*green return*")</f>
        <v>0</v>
      </c>
      <c r="BN6" s="9">
        <f>SUMIFS('Raw Data'!$N$3:$N$5000,'Raw Data'!$P$3:$P$5000,"W22",'Raw Data'!$F$3:$F$5000,"*green return*")</f>
        <v>0</v>
      </c>
      <c r="BO6" s="10">
        <f>SUMIFS('Raw Data'!$E$3:$E$5000,'Raw Data'!$P$3:$P$5000,"W22",'Raw Data'!$F$3:$F$5000,"*green return*")</f>
        <v>0</v>
      </c>
      <c r="BP6" s="9">
        <f>SUMIFS('Raw Data'!$M$3:$M$5000,'Raw Data'!$P$3:$P$5000,"W23",'Raw Data'!$F$3:$F$5000,"*green return*")</f>
        <v>0</v>
      </c>
      <c r="BQ6" s="9">
        <f>SUMIFS('Raw Data'!$N$3:$N$5000,'Raw Data'!$P$3:$P$5000,"W23",'Raw Data'!$F$3:$F$5000,"*green return*")</f>
        <v>0</v>
      </c>
      <c r="BR6" s="10">
        <f>SUMIFS('Raw Data'!$E$3:$E$5000,'Raw Data'!$P$3:$P$5000,"W23",'Raw Data'!$F$3:$F$5000,"*green return*")</f>
        <v>0</v>
      </c>
      <c r="BS6" s="9">
        <f>SUMIFS('Raw Data'!$M$3:$M$5000,'Raw Data'!$P$3:$P$5000,"W24",'Raw Data'!$F$3:$F$5000,"*green return*")</f>
        <v>0</v>
      </c>
      <c r="BT6" s="9">
        <f>SUMIFS('Raw Data'!$N$3:$N$5000,'Raw Data'!$P$3:$P$5000,"W24",'Raw Data'!$F$3:$F$5000,"*green return*")</f>
        <v>0</v>
      </c>
      <c r="BU6" s="10">
        <f>SUMIFS('Raw Data'!$E$3:$E$5000,'Raw Data'!$P$3:$P$5000,"W24",'Raw Data'!$F$3:$F$5000,"*green return*")</f>
        <v>0</v>
      </c>
      <c r="BV6" s="9">
        <f>SUMIFS('Raw Data'!$M$3:$M$5000,'Raw Data'!$P$3:$P$5000,"W25",'Raw Data'!$F$3:$F$5000,"*green return*")</f>
        <v>0</v>
      </c>
      <c r="BW6" s="9">
        <f>SUMIFS('Raw Data'!$N$3:$N$5000,'Raw Data'!$P$3:$P$5000,"W25",'Raw Data'!$F$3:$F$5000,"*green return*")</f>
        <v>0</v>
      </c>
      <c r="BX6" s="10">
        <f>SUMIFS('Raw Data'!$E$3:$E$5000,'Raw Data'!$P$3:$P$5000,"W25",'Raw Data'!$F$3:$F$5000,"*green return*")</f>
        <v>0</v>
      </c>
      <c r="BY6" s="9">
        <f>SUMIFS('Raw Data'!$M$3:$M$5000,'Raw Data'!$P$3:$P$5000,"W26",'Raw Data'!$F$3:$F$5000,"*green return*")</f>
        <v>0</v>
      </c>
      <c r="BZ6" s="9">
        <f>SUMIFS('Raw Data'!$N$3:$N$5000,'Raw Data'!$P$3:$P$5000,"W26",'Raw Data'!$F$3:$F$5000,"*green return*")</f>
        <v>0</v>
      </c>
      <c r="CA6" s="10">
        <f>SUMIFS('Raw Data'!$E$3:$E$5000,'Raw Data'!$P$3:$P$5000,"W26",'Raw Data'!$F$3:$F$5000,"*green return*")</f>
        <v>0</v>
      </c>
      <c r="CB6" s="9">
        <f>SUMIFS('Raw Data'!$M$3:$M$5000,'Raw Data'!$P$3:$P$5000,"W27",'Raw Data'!$F$3:$F$5000,"*green return*")</f>
        <v>0</v>
      </c>
      <c r="CC6" s="9">
        <f>SUMIFS('Raw Data'!$N$3:$N$5000,'Raw Data'!$P$3:$P$5000,"W27",'Raw Data'!$F$3:$F$5000,"*green return*")</f>
        <v>0</v>
      </c>
      <c r="CD6" s="10">
        <f>SUMIFS('Raw Data'!$E$3:$E$5000,'Raw Data'!$P$3:$P$5000,"W27",'Raw Data'!$F$3:$F$5000,"*green return*")</f>
        <v>0</v>
      </c>
      <c r="CE6" s="9">
        <f>SUMIFS('Raw Data'!$M$3:$M$5000,'Raw Data'!$P$3:$P$5000,"W28",'Raw Data'!$F$3:$F$5000,"*green return*")</f>
        <v>0</v>
      </c>
      <c r="CF6" s="9">
        <f>SUMIFS('Raw Data'!$N$3:$N$5000,'Raw Data'!$P$3:$P$5000,"W28",'Raw Data'!$F$3:$F$5000,"*green return*")</f>
        <v>0</v>
      </c>
      <c r="CG6" s="10">
        <f>SUMIFS('Raw Data'!$E$3:$E$5000,'Raw Data'!$P$3:$P$5000,"W28",'Raw Data'!$F$3:$F$5000,"*green return*")</f>
        <v>0</v>
      </c>
      <c r="CH6" s="9">
        <f>SUMIFS('Raw Data'!$M$3:$M$5000,'Raw Data'!$P$3:$P$5000,"W29",'Raw Data'!$F$3:$F$5000,"*green return*")</f>
        <v>0</v>
      </c>
      <c r="CI6" s="9">
        <f>SUMIFS('Raw Data'!$N$3:$N$5000,'Raw Data'!$P$3:$P$5000,"W29",'Raw Data'!$F$3:$F$5000,"*green return*")</f>
        <v>0</v>
      </c>
      <c r="CJ6" s="10">
        <f>SUMIFS('Raw Data'!$E$3:$E$5000,'Raw Data'!$P$3:$P$5000,"W29",'Raw Data'!$F$3:$F$5000,"*green return*")</f>
        <v>0</v>
      </c>
      <c r="CK6" s="9">
        <f>SUMIFS('Raw Data'!$M$3:$M$5000,'Raw Data'!$P$3:$P$5000,"W30",'Raw Data'!$F$3:$F$5000,"*green return*")</f>
        <v>0</v>
      </c>
      <c r="CL6" s="9">
        <f>SUMIFS('Raw Data'!$N$3:$N$5000,'Raw Data'!$P$3:$P$5000,"W30",'Raw Data'!$F$3:$F$5000,"*green return*")</f>
        <v>0</v>
      </c>
      <c r="CM6" s="10">
        <f>SUMIFS('Raw Data'!$E$3:$E$5000,'Raw Data'!$P$3:$P$5000,"W30",'Raw Data'!$F$3:$F$5000,"*green return*")</f>
        <v>0</v>
      </c>
      <c r="CN6" s="9">
        <f>SUMIFS('Raw Data'!$M$3:$M$5000,'Raw Data'!$P$3:$P$5000,"W31",'Raw Data'!$F$3:$F$5000,"*green return*")</f>
        <v>0</v>
      </c>
      <c r="CO6" s="9">
        <f>SUMIFS('Raw Data'!$N$3:$N$5000,'Raw Data'!$P$3:$P$5000,"W31",'Raw Data'!$F$3:$F$5000,"*green return*")</f>
        <v>0</v>
      </c>
      <c r="CP6" s="10">
        <f>SUMIFS('Raw Data'!$E$3:$E$5000,'Raw Data'!$P$3:$P$5000,"W31",'Raw Data'!$F$3:$F$5000,"*green return*")</f>
        <v>0</v>
      </c>
      <c r="CQ6" s="9">
        <f>SUMIFS('Raw Data'!$M$3:$M$5000,'Raw Data'!$P$3:$P$5000,"W32",'Raw Data'!$F$3:$F$5000,"*green return*")</f>
        <v>0</v>
      </c>
      <c r="CR6" s="9">
        <f>SUMIFS('Raw Data'!$N$3:$N$5000,'Raw Data'!$P$3:$P$5000,"W32",'Raw Data'!$F$3:$F$5000,"*green return*")</f>
        <v>0</v>
      </c>
      <c r="CS6" s="10">
        <f>SUMIFS('Raw Data'!$E$3:$E$5000,'Raw Data'!$P$3:$P$5000,"W32",'Raw Data'!$F$3:$F$5000,"*green return*")</f>
        <v>0</v>
      </c>
      <c r="CT6" s="9">
        <f>SUMIFS('Raw Data'!$M$3:$M$5000,'Raw Data'!$P$3:$P$5000,"W33",'Raw Data'!$F$3:$F$5000,"*green return*")</f>
        <v>0</v>
      </c>
      <c r="CU6" s="9">
        <f>SUMIFS('Raw Data'!$N$3:$N$5000,'Raw Data'!$P$3:$P$5000,"W33",'Raw Data'!$F$3:$F$5000,"*green return*")</f>
        <v>0</v>
      </c>
      <c r="CV6" s="10">
        <f>SUMIFS('Raw Data'!$E$3:$E$5000,'Raw Data'!$P$3:$P$5000,"W33",'Raw Data'!$F$3:$F$5000,"*green return*")</f>
        <v>0</v>
      </c>
      <c r="CW6" s="9">
        <f>SUMIFS('Raw Data'!$M$3:$M$5000,'Raw Data'!$P$3:$P$5000,"W34",'Raw Data'!$F$3:$F$5000,"*green return*")</f>
        <v>0</v>
      </c>
      <c r="CX6" s="9">
        <f>SUMIFS('Raw Data'!$N$3:$N$5000,'Raw Data'!$P$3:$P$5000,"W34",'Raw Data'!$F$3:$F$5000,"*green return*")</f>
        <v>0</v>
      </c>
      <c r="CY6" s="10">
        <f>SUMIFS('Raw Data'!$E$3:$E$5000,'Raw Data'!$P$3:$P$5000,"W34",'Raw Data'!$F$3:$F$5000,"*green return*")</f>
        <v>0</v>
      </c>
      <c r="CZ6" s="9">
        <f>SUMIFS('Raw Data'!$M$3:$M$5000,'Raw Data'!$P$3:$P$5000,"W35",'Raw Data'!$F$3:$F$5000,"*green return*")</f>
        <v>0</v>
      </c>
      <c r="DA6" s="9">
        <f>SUMIFS('Raw Data'!$N$3:$N$5000,'Raw Data'!$P$3:$P$5000,"W35",'Raw Data'!$F$3:$F$5000,"*green return*")</f>
        <v>0</v>
      </c>
      <c r="DB6" s="10">
        <f>SUMIFS('Raw Data'!$E$3:$E$5000,'Raw Data'!$P$3:$P$5000,"W35",'Raw Data'!$F$3:$F$5000,"*green return*")</f>
        <v>0</v>
      </c>
      <c r="DC6" s="9">
        <f>SUMIFS('Raw Data'!$M$3:$M$5000,'Raw Data'!$P$3:$P$5000,"W36",'Raw Data'!$F$3:$F$5000,"*green return*")</f>
        <v>0</v>
      </c>
      <c r="DD6" s="9">
        <f>SUMIFS('Raw Data'!$N$3:$N$5000,'Raw Data'!$P$3:$P$5000,"W36",'Raw Data'!$F$3:$F$5000,"*green return*")</f>
        <v>0</v>
      </c>
      <c r="DE6" s="10">
        <f>SUMIFS('Raw Data'!$E$3:$E$5000,'Raw Data'!$P$3:$P$5000,"W36",'Raw Data'!$F$3:$F$5000,"*green return*")</f>
        <v>0</v>
      </c>
      <c r="DF6" s="9">
        <f>SUMIFS('Raw Data'!$M$3:$M$5000,'Raw Data'!$P$3:$P$5000,"W37",'Raw Data'!$F$3:$F$5000,"*green return*")</f>
        <v>0</v>
      </c>
      <c r="DG6" s="9">
        <f>SUMIFS('Raw Data'!$N$3:$N$5000,'Raw Data'!$P$3:$P$5000,"W37",'Raw Data'!$F$3:$F$5000,"*green return*")</f>
        <v>0</v>
      </c>
      <c r="DH6" s="10">
        <f>SUMIFS('Raw Data'!$E$3:$E$5000,'Raw Data'!$P$3:$P$5000,"W37",'Raw Data'!$F$3:$F$5000,"*green return*")</f>
        <v>0</v>
      </c>
      <c r="DI6" s="9">
        <f>SUMIFS('Raw Data'!$M$3:$M$5000,'Raw Data'!$P$3:$P$5000,"W38",'Raw Data'!$F$3:$F$5000,"*green return*")</f>
        <v>0</v>
      </c>
      <c r="DJ6" s="9">
        <f>SUMIFS('Raw Data'!$N$3:$N$5000,'Raw Data'!$P$3:$P$5000,"W38",'Raw Data'!$F$3:$F$5000,"*green return*")</f>
        <v>0</v>
      </c>
      <c r="DK6" s="10">
        <f>SUMIFS('Raw Data'!$E$3:$E$5000,'Raw Data'!$P$3:$P$5000,"W38",'Raw Data'!$F$3:$F$5000,"*green return*")</f>
        <v>0</v>
      </c>
      <c r="DL6" s="9">
        <f>SUMIFS('Raw Data'!$M$3:$M$5000,'Raw Data'!$P$3:$P$5000,"W39",'Raw Data'!$F$3:$F$5000,"*green return*")</f>
        <v>0</v>
      </c>
      <c r="DM6" s="9">
        <f>SUMIFS('Raw Data'!$N$3:$N$5000,'Raw Data'!$P$3:$P$5000,"W39",'Raw Data'!$F$3:$F$5000,"*green return*")</f>
        <v>0</v>
      </c>
      <c r="DN6" s="10">
        <f>SUMIFS('Raw Data'!$E$3:$E$5000,'Raw Data'!$P$3:$P$5000,"W39",'Raw Data'!$F$3:$F$5000,"*green return*")</f>
        <v>0</v>
      </c>
      <c r="DO6" s="9">
        <f>SUMIFS('Raw Data'!$M$3:$M$5000,'Raw Data'!$P$3:$P$5000,"W40",'Raw Data'!$F$3:$F$5000,"*green return*")</f>
        <v>0</v>
      </c>
      <c r="DP6" s="9">
        <f>SUMIFS('Raw Data'!$N$3:$N$5000,'Raw Data'!$P$3:$P$5000,"W40",'Raw Data'!$F$3:$F$5000,"*green return*")</f>
        <v>0</v>
      </c>
      <c r="DQ6" s="10">
        <f>SUMIFS('Raw Data'!$E$3:$E$5000,'Raw Data'!$P$3:$P$5000,"W40",'Raw Data'!$F$3:$F$5000,"*green return*")</f>
        <v>0</v>
      </c>
      <c r="DR6" s="9">
        <f>SUMIFS('Raw Data'!$M$3:$M$5000,'Raw Data'!$P$3:$P$5000,"W41",'Raw Data'!$F$3:$F$5000,"*green return*")</f>
        <v>0</v>
      </c>
      <c r="DS6" s="9">
        <f>SUMIFS('Raw Data'!$N$3:$N$5000,'Raw Data'!$P$3:$P$5000,"W41",'Raw Data'!$F$3:$F$5000,"*green return*")</f>
        <v>0</v>
      </c>
      <c r="DT6" s="10">
        <f>SUMIFS('Raw Data'!$E$3:$E$5000,'Raw Data'!$P$3:$P$5000,"W41",'Raw Data'!$F$3:$F$5000,"*green return*")</f>
        <v>0</v>
      </c>
      <c r="DU6" s="9">
        <f>SUMIFS('Raw Data'!$M$3:$M$5000,'Raw Data'!$P$3:$P$5000,"W42",'Raw Data'!$F$3:$F$5000,"*green return*")</f>
        <v>0</v>
      </c>
      <c r="DV6" s="9">
        <f>SUMIFS('Raw Data'!$N$3:$N$5000,'Raw Data'!$P$3:$P$5000,"W42",'Raw Data'!$F$3:$F$5000,"*green return*")</f>
        <v>0</v>
      </c>
      <c r="DW6" s="10">
        <f>SUMIFS('Raw Data'!$E$3:$E$5000,'Raw Data'!$P$3:$P$5000,"W42",'Raw Data'!$F$3:$F$5000,"*green return*")</f>
        <v>0</v>
      </c>
      <c r="DX6" s="9">
        <f>SUMIFS('Raw Data'!$M$3:$M$5000,'Raw Data'!$P$3:$P$5000,"W43",'Raw Data'!$F$3:$F$5000,"*green return*")</f>
        <v>0</v>
      </c>
      <c r="DY6" s="9">
        <f>SUMIFS('Raw Data'!$N$3:$N$5000,'Raw Data'!$P$3:$P$5000,"W43",'Raw Data'!$F$3:$F$5000,"*green return*")</f>
        <v>0</v>
      </c>
      <c r="DZ6" s="10">
        <f>SUMIFS('Raw Data'!$E$3:$E$5000,'Raw Data'!$P$3:$P$5000,"W43",'Raw Data'!$F$3:$F$5000,"*green return*")</f>
        <v>0</v>
      </c>
      <c r="EA6" s="9">
        <f>SUMIFS('Raw Data'!$M$3:$M$5000,'Raw Data'!$P$3:$P$5000,"W44",'Raw Data'!$F$3:$F$5000,"*green return*")</f>
        <v>0</v>
      </c>
      <c r="EB6" s="9">
        <f>SUMIFS('Raw Data'!$N$3:$N$5000,'Raw Data'!$P$3:$P$5000,"W44",'Raw Data'!$F$3:$F$5000,"*green return*")</f>
        <v>0</v>
      </c>
      <c r="EC6" s="10">
        <f>SUMIFS('Raw Data'!$E$3:$E$5000,'Raw Data'!$P$3:$P$5000,"W44",'Raw Data'!$F$3:$F$5000,"*green return*")</f>
        <v>0</v>
      </c>
      <c r="ED6" s="9">
        <f>SUMIFS('Raw Data'!$M$3:$M$5000,'Raw Data'!$P$3:$P$5000,"W45",'Raw Data'!$F$3:$F$5000,"*green return*")</f>
        <v>0</v>
      </c>
      <c r="EE6" s="9">
        <f>SUMIFS('Raw Data'!$N$3:$N$5000,'Raw Data'!$P$3:$P$5000,"W45",'Raw Data'!$F$3:$F$5000,"*green return*")</f>
        <v>0</v>
      </c>
      <c r="EF6" s="10">
        <f>SUMIFS('Raw Data'!$E$3:$E$5000,'Raw Data'!$P$3:$P$5000,"W45",'Raw Data'!$F$3:$F$5000,"*green return*")</f>
        <v>0</v>
      </c>
      <c r="EG6" s="9">
        <f>SUMIFS('Raw Data'!$M$3:$M$5000,'Raw Data'!$P$3:$P$5000,"W46",'Raw Data'!$F$3:$F$5000,"*green return*")</f>
        <v>0</v>
      </c>
      <c r="EH6" s="9">
        <f>SUMIFS('Raw Data'!$N$3:$N$5000,'Raw Data'!$P$3:$P$5000,"W46",'Raw Data'!$F$3:$F$5000,"*green return*")</f>
        <v>0</v>
      </c>
      <c r="EI6" s="10">
        <f>SUMIFS('Raw Data'!$E$3:$E$5000,'Raw Data'!$P$3:$P$5000,"W46",'Raw Data'!$F$3:$F$5000,"*green return*")</f>
        <v>0</v>
      </c>
      <c r="EJ6" s="9">
        <f>SUMIFS('Raw Data'!$M$3:$M$5000,'Raw Data'!$P$3:$P$5000,"W47",'Raw Data'!$F$3:$F$5000,"*green return*")</f>
        <v>0</v>
      </c>
      <c r="EK6" s="9">
        <f>SUMIFS('Raw Data'!$N$3:$N$5000,'Raw Data'!$P$3:$P$5000,"W47",'Raw Data'!$F$3:$F$5000,"*green return*")</f>
        <v>0</v>
      </c>
      <c r="EL6" s="10">
        <f>SUMIFS('Raw Data'!$E$3:$E$5000,'Raw Data'!$P$3:$P$5000,"W47",'Raw Data'!$F$3:$F$5000,"*green return*")</f>
        <v>0</v>
      </c>
      <c r="EM6" s="9">
        <f>SUMIFS('Raw Data'!$M$3:$M$5000,'Raw Data'!$P$3:$P$5000,"W48",'Raw Data'!$F$3:$F$5000,"*green return*")</f>
        <v>0</v>
      </c>
      <c r="EN6" s="9">
        <f>SUMIFS('Raw Data'!$N$3:$N$5000,'Raw Data'!$P$3:$P$5000,"W48",'Raw Data'!$F$3:$F$5000,"*green return*")</f>
        <v>0</v>
      </c>
      <c r="EO6" s="10">
        <f>SUMIFS('Raw Data'!$E$3:$E$5000,'Raw Data'!$P$3:$P$5000,"W48",'Raw Data'!$F$3:$F$5000,"*green return*")</f>
        <v>0</v>
      </c>
      <c r="EP6" s="9">
        <f>SUMIFS('Raw Data'!$M$3:$M$5000,'Raw Data'!$P$3:$P$5000,"W49",'Raw Data'!$F$3:$F$5000,"*green return*")</f>
        <v>0</v>
      </c>
      <c r="EQ6" s="9">
        <f>SUMIFS('Raw Data'!$N$3:$N$5000,'Raw Data'!$P$3:$P$5000,"W49",'Raw Data'!$F$3:$F$5000,"*green return*")</f>
        <v>0</v>
      </c>
      <c r="ER6" s="10">
        <f>SUMIFS('Raw Data'!$E$3:$E$5000,'Raw Data'!$P$3:$P$5000,"W49",'Raw Data'!$F$3:$F$5000,"*green return*")</f>
        <v>0</v>
      </c>
      <c r="ES6" s="9">
        <f>SUMIFS('Raw Data'!$M$3:$M$5000,'Raw Data'!$P$3:$P$5000,"W50",'Raw Data'!$F$3:$F$5000,"*green return*")</f>
        <v>0</v>
      </c>
      <c r="ET6" s="9">
        <f>SUMIFS('Raw Data'!$N$3:$N$5000,'Raw Data'!$P$3:$P$5000,"W50",'Raw Data'!$F$3:$F$5000,"*green return*")</f>
        <v>0</v>
      </c>
      <c r="EU6" s="10">
        <f>SUMIFS('Raw Data'!$E$3:$E$5000,'Raw Data'!$P$3:$P$5000,"W50",'Raw Data'!$F$3:$F$5000,"*green return*")</f>
        <v>0</v>
      </c>
      <c r="EV6" s="9">
        <f>SUMIFS('Raw Data'!$M$3:$M$5000,'Raw Data'!$P$3:$P$5000,"W51",'Raw Data'!$F$3:$F$5000,"*green return*")</f>
        <v>0</v>
      </c>
      <c r="EW6" s="9">
        <f>SUMIFS('Raw Data'!$N$3:$N$5000,'Raw Data'!$P$3:$P$5000,"W51",'Raw Data'!$F$3:$F$5000,"*green return*")</f>
        <v>0</v>
      </c>
      <c r="EX6" s="10">
        <f>SUMIFS('Raw Data'!$E$3:$E$5000,'Raw Data'!$P$3:$P$5000,"W51",'Raw Data'!$F$3:$F$5000,"*green return*")</f>
        <v>0</v>
      </c>
      <c r="EY6" s="9">
        <f>SUMIFS('Raw Data'!$M$3:$M$5000,'Raw Data'!$P$3:$P$5000,"W52",'Raw Data'!$F$3:$F$5000,"*green return*")</f>
        <v>0</v>
      </c>
      <c r="EZ6" s="9">
        <f>SUMIFS('Raw Data'!$N$3:$N$5000,'Raw Data'!$P$3:$P$5000,"W52",'Raw Data'!$F$3:$F$5000,"*green return*")</f>
        <v>0</v>
      </c>
      <c r="FA6" s="10">
        <f>SUMIFS('Raw Data'!$E$3:$E$5000,'Raw Data'!$P$3:$P$5000,"W52",'Raw Data'!$F$3:$F$5000,"*green return*")</f>
        <v>0</v>
      </c>
      <c r="FB6" s="6">
        <f t="shared" ref="FB6:FD6" si="1">B6+E6+H6+K6+N6+Q6+T6+W6+Z6+AC6+AF6+AI6+AL6+AO6+AR6+AU6+AX6+BA6+BD6+BG6+BJ6+BM6+BP6+BS6+BV6+BY6+CB6+CE6+CH6+CK6+CN6+CQ6+CT6+CW6+CZ6+DC6+DF6+DI6+DL6+DO6+DR6+DU6+DX6+EA6+ED6+EG6+EJ6+EM6+EP6+ES6+EV6+EY6</f>
        <v>87.32</v>
      </c>
      <c r="FC6" s="6">
        <f t="shared" si="1"/>
        <v>0</v>
      </c>
      <c r="FD6" s="7">
        <f t="shared" si="1"/>
        <v>1</v>
      </c>
    </row>
    <row r="7" spans="1:160" ht="19.5" customHeight="1" x14ac:dyDescent="0.3">
      <c r="A7" s="11" t="s">
        <v>61</v>
      </c>
      <c r="B7" s="12">
        <f>SUMIFS('Raw Data'!$M$3:$M$5000,'Raw Data'!$P$3:$P$5000,"W1",'Raw Data'!$Q$3:$Q$5000,"Not received")</f>
        <v>0</v>
      </c>
      <c r="C7" s="12">
        <f>SUMIFS('Raw Data'!$N$3:$N$5000,'Raw Data'!$P$3:$P$5000,"W1",'Raw Data'!$Q$3:$Q$5000,"Not received")</f>
        <v>0</v>
      </c>
      <c r="D7" s="13">
        <f>SUMIFS('Raw Data'!$E$3:$E$5000,'Raw Data'!$P$3:$P$5000,"W1",'Raw Data'!$Q$3:$Q$5000,"Not received")</f>
        <v>0</v>
      </c>
      <c r="E7" s="12">
        <f>SUMIFS('Raw Data'!$M$3:$M$5000,'Raw Data'!$P$3:$P$5000,"W2",'Raw Data'!$Q$3:$Q$5000,"Not received")</f>
        <v>0</v>
      </c>
      <c r="F7" s="12">
        <f>SUMIFS('Raw Data'!$N$3:$N$5000,'Raw Data'!$P$3:$P$5000,"W2",'Raw Data'!$Q$3:$Q$5000,"Not received")</f>
        <v>0</v>
      </c>
      <c r="G7" s="13">
        <f>SUMIFS('Raw Data'!$E$3:$E$5000,'Raw Data'!$P$3:$P$5000,"W2",'Raw Data'!$Q$3:$Q$5000,"Not received")</f>
        <v>0</v>
      </c>
      <c r="H7" s="12">
        <f>SUMIFS('Raw Data'!$M$3:$M$5000,'Raw Data'!$P$3:$P$5000,"W3",'Raw Data'!$Q$3:$Q$5000,"Not received")</f>
        <v>0</v>
      </c>
      <c r="I7" s="12">
        <f>SUMIFS('Raw Data'!$N$3:$N$5000,'Raw Data'!$P$3:$P$5000,"W3",'Raw Data'!$Q$3:$Q$5000,"Not received")</f>
        <v>0</v>
      </c>
      <c r="J7" s="13">
        <f>SUMIFS('Raw Data'!$E$3:$E$5000,'Raw Data'!$P$3:$P$5000,"W3",'Raw Data'!$Q$3:$Q$5000,"Not received")</f>
        <v>0</v>
      </c>
      <c r="K7" s="12">
        <f>SUMIFS('Raw Data'!$M$3:$M$5000,'Raw Data'!$P$3:$P$5000,"W4",'Raw Data'!$Q$3:$Q$5000,"Not received")</f>
        <v>0</v>
      </c>
      <c r="L7" s="12">
        <f>SUMIFS('Raw Data'!$N$3:$N$5000,'Raw Data'!$P$3:$P$5000,"W4",'Raw Data'!$Q$3:$Q$5000,"Not received")</f>
        <v>0</v>
      </c>
      <c r="M7" s="13">
        <f>SUMIFS('Raw Data'!$E$3:$E$5000,'Raw Data'!$P$3:$P$5000,"W4",'Raw Data'!$Q$3:$Q$5000,"Not received")</f>
        <v>0</v>
      </c>
      <c r="N7" s="12">
        <f>SUMIFS('Raw Data'!$M$3:$M$5000,'Raw Data'!$P$3:$P$5000,"W5",'Raw Data'!$Q$3:$Q$5000,"Not received")</f>
        <v>0</v>
      </c>
      <c r="O7" s="12">
        <f>SUMIFS('Raw Data'!$N$3:$N$5000,'Raw Data'!$P$3:$P$5000,"W5",'Raw Data'!$Q$3:$Q$5000,"Not received")</f>
        <v>0</v>
      </c>
      <c r="P7" s="13">
        <f>SUMIFS('Raw Data'!$E$3:$E$5000,'Raw Data'!$P$3:$P$5000,"W5",'Raw Data'!$Q$3:$Q$5000,"Not received")</f>
        <v>0</v>
      </c>
      <c r="Q7" s="12">
        <f>SUMIFS('Raw Data'!$M$3:$M$5000,'Raw Data'!$P$3:$P$5000,"W6",'Raw Data'!$Q$3:$Q$5000,"Not received")</f>
        <v>0</v>
      </c>
      <c r="R7" s="12">
        <f>SUMIFS('Raw Data'!$N$3:$N$5000,'Raw Data'!$P$3:$P$5000,"W6",'Raw Data'!$Q$3:$Q$5000,"Not received")</f>
        <v>0</v>
      </c>
      <c r="S7" s="13">
        <f>SUMIFS('Raw Data'!$E$3:$E$5000,'Raw Data'!$P$3:$P$5000,"W6",'Raw Data'!$Q$3:$Q$5000,"Not received")</f>
        <v>0</v>
      </c>
      <c r="T7" s="12">
        <f>SUMIFS('Raw Data'!$M$3:$M$5000,'Raw Data'!$P$3:$P$5000,"W7",'Raw Data'!$Q$3:$Q$5000,"Not received")</f>
        <v>0</v>
      </c>
      <c r="U7" s="12">
        <f>SUMIFS('Raw Data'!$N$3:$N$5000,'Raw Data'!$P$3:$P$5000,"W7",'Raw Data'!$Q$3:$Q$5000,"Not received")</f>
        <v>0</v>
      </c>
      <c r="V7" s="13">
        <f>SUMIFS('Raw Data'!$E$3:$E$5000,'Raw Data'!$P$3:$P$5000,"W7",'Raw Data'!$Q$3:$Q$5000,"Not received")</f>
        <v>0</v>
      </c>
      <c r="W7" s="12">
        <f>SUMIFS('Raw Data'!$M$3:$M$5000,'Raw Data'!$P$3:$P$5000,"W8",'Raw Data'!$Q$3:$Q$5000,"Not received")</f>
        <v>0</v>
      </c>
      <c r="X7" s="12">
        <f>SUMIFS('Raw Data'!$N$3:$N$5000,'Raw Data'!$P$3:$P$5000,"W8",'Raw Data'!$Q$3:$Q$5000,"Not received")</f>
        <v>0</v>
      </c>
      <c r="Y7" s="13">
        <f>SUMIFS('Raw Data'!$E$3:$E$5000,'Raw Data'!$P$3:$P$5000,"W8",'Raw Data'!$Q$3:$Q$5000,"Not received")</f>
        <v>0</v>
      </c>
      <c r="Z7" s="12">
        <f>SUMIFS('Raw Data'!$M$3:$M$5000,'Raw Data'!$P$3:$P$5000,"W9",'Raw Data'!$Q$3:$Q$5000,"Not received")</f>
        <v>1112</v>
      </c>
      <c r="AA7" s="12">
        <f>SUMIFS('Raw Data'!$N$3:$N$5000,'Raw Data'!$P$3:$P$5000,"W9",'Raw Data'!$Q$3:$Q$5000,"Not received")</f>
        <v>2284</v>
      </c>
      <c r="AB7" s="13">
        <f>SUMIFS('Raw Data'!$E$3:$E$5000,'Raw Data'!$P$3:$P$5000,"W9",'Raw Data'!$Q$3:$Q$5000,"Not received")</f>
        <v>3</v>
      </c>
      <c r="AC7" s="12">
        <f>SUMIFS('Raw Data'!$M$3:$M$5000,'Raw Data'!$P$3:$P$5000,"W10",'Raw Data'!$Q$3:$Q$5000,"Not received")</f>
        <v>378.65999999999997</v>
      </c>
      <c r="AD7" s="12">
        <f>SUMIFS('Raw Data'!$N$3:$N$5000,'Raw Data'!$P$3:$P$5000,"W10",'Raw Data'!$Q$3:$Q$5000,"Not received")</f>
        <v>1002.36</v>
      </c>
      <c r="AE7" s="13">
        <f>SUMIFS('Raw Data'!$E$3:$E$5000,'Raw Data'!$P$3:$P$5000,"W10",'Raw Data'!$Q$3:$Q$5000,"Not received")</f>
        <v>4</v>
      </c>
      <c r="AF7" s="12">
        <f>SUMIFS('Raw Data'!$M$3:$M$5000,'Raw Data'!$P$3:$P$5000,"W11",'Raw Data'!$Q$3:$Q$5000,"Not received")</f>
        <v>3618</v>
      </c>
      <c r="AG7" s="12">
        <f>SUMIFS('Raw Data'!$N$3:$N$5000,'Raw Data'!$P$3:$P$5000,"W11",'Raw Data'!$Q$3:$Q$5000,"Not received")</f>
        <v>7662</v>
      </c>
      <c r="AH7" s="13">
        <f>SUMIFS('Raw Data'!$E$3:$E$5000,'Raw Data'!$P$3:$P$5000,"W11",'Raw Data'!$Q$3:$Q$5000,"Not received")</f>
        <v>68</v>
      </c>
      <c r="AI7" s="12">
        <f>SUMIFS('Raw Data'!$M$3:$M$5000,'Raw Data'!$P$3:$P$5000,"W12",'Raw Data'!$Q$3:$Q$5000,"Not received")</f>
        <v>0</v>
      </c>
      <c r="AJ7" s="12">
        <f>SUMIFS('Raw Data'!$N$3:$N$5000,'Raw Data'!$P$3:$P$5000,"W12",'Raw Data'!$Q$3:$Q$5000,"Not received")</f>
        <v>0</v>
      </c>
      <c r="AK7" s="13">
        <f>SUMIFS('Raw Data'!$E$3:$E$5000,'Raw Data'!$P$3:$P$5000,"W12",'Raw Data'!$Q$3:$Q$5000,"Not received")</f>
        <v>0</v>
      </c>
      <c r="AL7" s="12">
        <f>SUMIFS('Raw Data'!$M$3:$M$5000,'Raw Data'!$P$3:$P$5000,"W13",'Raw Data'!$Q$3:$Q$5000,"Not received")</f>
        <v>0</v>
      </c>
      <c r="AM7" s="12">
        <f>SUMIFS('Raw Data'!$N$3:$N$5000,'Raw Data'!$P$3:$P$5000,"W13",'Raw Data'!$Q$3:$Q$5000,"Not received")</f>
        <v>0</v>
      </c>
      <c r="AN7" s="13">
        <f>SUMIFS('Raw Data'!$E$3:$E$5000,'Raw Data'!$P$3:$P$5000,"W13",'Raw Data'!$Q$3:$Q$5000,"Not received")</f>
        <v>0</v>
      </c>
      <c r="AO7" s="12">
        <f>SUMIFS('Raw Data'!$M$3:$M$5000,'Raw Data'!$P$3:$P$5000,"W14",'Raw Data'!$Q$3:$Q$5000,"Not received")</f>
        <v>0</v>
      </c>
      <c r="AP7" s="12">
        <f>SUMIFS('Raw Data'!$N$3:$N$5000,'Raw Data'!$P$3:$P$5000,"W14",'Raw Data'!$Q$3:$Q$5000,"Not received")</f>
        <v>0</v>
      </c>
      <c r="AQ7" s="13">
        <f>SUMIFS('Raw Data'!$E$3:$E$5000,'Raw Data'!$P$3:$P$5000,"W14",'Raw Data'!$Q$3:$Q$5000,"Not received")</f>
        <v>0</v>
      </c>
      <c r="AR7" s="12">
        <f>SUMIFS('Raw Data'!$M$3:$M$5000,'Raw Data'!$P$3:$P$5000,"W15",'Raw Data'!$Q$3:$Q$5000,"Not received")</f>
        <v>0</v>
      </c>
      <c r="AS7" s="12">
        <f>SUMIFS('Raw Data'!$N$3:$N$5000,'Raw Data'!$P$3:$P$5000,"W15",'Raw Data'!$Q$3:$Q$5000,"Not received")</f>
        <v>0</v>
      </c>
      <c r="AT7" s="13">
        <f>SUMIFS('Raw Data'!$E$3:$E$5000,'Raw Data'!$P$3:$P$5000,"W15",'Raw Data'!$Q$3:$Q$5000,"Not received")</f>
        <v>0</v>
      </c>
      <c r="AU7" s="12">
        <f>SUMIFS('Raw Data'!$M$3:$M$5000,'Raw Data'!$P$3:$P$5000,"W16",'Raw Data'!$Q$3:$Q$5000,"Not received")</f>
        <v>0</v>
      </c>
      <c r="AV7" s="12">
        <f>SUMIFS('Raw Data'!$N$3:$N$5000,'Raw Data'!$P$3:$P$5000,"W16",'Raw Data'!$Q$3:$Q$5000,"Not received")</f>
        <v>0</v>
      </c>
      <c r="AW7" s="13">
        <f>SUMIFS('Raw Data'!$E$3:$E$5000,'Raw Data'!$P$3:$P$5000,"W16",'Raw Data'!$Q$3:$Q$5000,"Not received")</f>
        <v>0</v>
      </c>
      <c r="AX7" s="12">
        <f>SUMIFS('Raw Data'!$M$3:$M$5000,'Raw Data'!$P$3:$P$5000,"W17",'Raw Data'!$Q$3:$Q$5000,"Not received")</f>
        <v>0</v>
      </c>
      <c r="AY7" s="12">
        <f>SUMIFS('Raw Data'!$N$3:$N$5000,'Raw Data'!$P$3:$P$5000,"W17",'Raw Data'!$Q$3:$Q$5000,"Not received")</f>
        <v>0</v>
      </c>
      <c r="AZ7" s="13">
        <f>SUMIFS('Raw Data'!$E$3:$E$5000,'Raw Data'!$P$3:$P$5000,"W17",'Raw Data'!$Q$3:$Q$5000,"Not received")</f>
        <v>0</v>
      </c>
      <c r="BA7" s="12">
        <f>SUMIFS('Raw Data'!$M$3:$M$5000,'Raw Data'!$P$3:$P$5000,"W18",'Raw Data'!$Q$3:$Q$5000,"Not received")</f>
        <v>0</v>
      </c>
      <c r="BB7" s="12">
        <f>SUMIFS('Raw Data'!$N$3:$N$5000,'Raw Data'!$P$3:$P$5000,"W18",'Raw Data'!$Q$3:$Q$5000,"Not received")</f>
        <v>0</v>
      </c>
      <c r="BC7" s="13">
        <f>SUMIFS('Raw Data'!$E$3:$E$5000,'Raw Data'!$P$3:$P$5000,"W18",'Raw Data'!$Q$3:$Q$5000,"Not received")</f>
        <v>0</v>
      </c>
      <c r="BD7" s="12">
        <f>SUMIFS('Raw Data'!$M$3:$M$5000,'Raw Data'!$P$3:$P$5000,"W19",'Raw Data'!$Q$3:$Q$5000,"Not received")</f>
        <v>0</v>
      </c>
      <c r="BE7" s="12">
        <f>SUMIFS('Raw Data'!$N$3:$N$5000,'Raw Data'!$P$3:$P$5000,"W19",'Raw Data'!$Q$3:$Q$5000,"Not received")</f>
        <v>0</v>
      </c>
      <c r="BF7" s="13">
        <f>SUMIFS('Raw Data'!$E$3:$E$5000,'Raw Data'!$P$3:$P$5000,"W19",'Raw Data'!$Q$3:$Q$5000,"Not received")</f>
        <v>0</v>
      </c>
      <c r="BG7" s="12">
        <f>SUMIFS('Raw Data'!$M$3:$M$5000,'Raw Data'!$P$3:$P$5000,"W20",'Raw Data'!$Q$3:$Q$5000,"Not received")</f>
        <v>0</v>
      </c>
      <c r="BH7" s="12">
        <f>SUMIFS('Raw Data'!$N$3:$N$5000,'Raw Data'!$P$3:$P$5000,"W20",'Raw Data'!$Q$3:$Q$5000,"Not received")</f>
        <v>0</v>
      </c>
      <c r="BI7" s="13">
        <f>SUMIFS('Raw Data'!$E$3:$E$5000,'Raw Data'!$P$3:$P$5000,"W20",'Raw Data'!$Q$3:$Q$5000,"Not received")</f>
        <v>0</v>
      </c>
      <c r="BJ7" s="12">
        <f>SUMIFS('Raw Data'!$M$3:$M$5000,'Raw Data'!$P$3:$P$5000,"W21",'Raw Data'!$Q$3:$Q$5000,"Not received")</f>
        <v>0</v>
      </c>
      <c r="BK7" s="12">
        <f>SUMIFS('Raw Data'!$N$3:$N$5000,'Raw Data'!$P$3:$P$5000,"W21",'Raw Data'!$Q$3:$Q$5000,"Not received")</f>
        <v>0</v>
      </c>
      <c r="BL7" s="13">
        <f>SUMIFS('Raw Data'!$E$3:$E$5000,'Raw Data'!$P$3:$P$5000,"W21",'Raw Data'!$Q$3:$Q$5000,"Not received")</f>
        <v>0</v>
      </c>
      <c r="BM7" s="12">
        <f>SUMIFS('Raw Data'!$M$3:$M$5000,'Raw Data'!$P$3:$P$5000,"W22",'Raw Data'!$Q$3:$Q$5000,"Not received")</f>
        <v>0</v>
      </c>
      <c r="BN7" s="12">
        <f>SUMIFS('Raw Data'!$N$3:$N$5000,'Raw Data'!$P$3:$P$5000,"W22",'Raw Data'!$Q$3:$Q$5000,"Not received")</f>
        <v>0</v>
      </c>
      <c r="BO7" s="13">
        <f>SUMIFS('Raw Data'!$E$3:$E$5000,'Raw Data'!$P$3:$P$5000,"W22",'Raw Data'!$Q$3:$Q$5000,"Not received")</f>
        <v>0</v>
      </c>
      <c r="BP7" s="12">
        <f>SUMIFS('Raw Data'!$M$3:$M$5000,'Raw Data'!$P$3:$P$5000,"W23",'Raw Data'!$Q$3:$Q$5000,"Not received")</f>
        <v>0</v>
      </c>
      <c r="BQ7" s="12">
        <f>SUMIFS('Raw Data'!$N$3:$N$5000,'Raw Data'!$P$3:$P$5000,"W23",'Raw Data'!$Q$3:$Q$5000,"Not received")</f>
        <v>0</v>
      </c>
      <c r="BR7" s="13">
        <f>SUMIFS('Raw Data'!$E$3:$E$5000,'Raw Data'!$P$3:$P$5000,"W23",'Raw Data'!$Q$3:$Q$5000,"Not received")</f>
        <v>0</v>
      </c>
      <c r="BS7" s="12">
        <f>SUMIFS('Raw Data'!$M$3:$M$5000,'Raw Data'!$P$3:$P$5000,"W24",'Raw Data'!$Q$3:$Q$5000,"Not received")</f>
        <v>0</v>
      </c>
      <c r="BT7" s="12">
        <f>SUMIFS('Raw Data'!$N$3:$N$5000,'Raw Data'!$P$3:$P$5000,"W24",'Raw Data'!$Q$3:$Q$5000,"Not received")</f>
        <v>0</v>
      </c>
      <c r="BU7" s="13">
        <f>SUMIFS('Raw Data'!$E$3:$E$5000,'Raw Data'!$P$3:$P$5000,"W24",'Raw Data'!$Q$3:$Q$5000,"Not received")</f>
        <v>0</v>
      </c>
      <c r="BV7" s="12">
        <f>SUMIFS('Raw Data'!$M$3:$M$5000,'Raw Data'!$P$3:$P$5000,"W25",'Raw Data'!$Q$3:$Q$5000,"Not received")</f>
        <v>0</v>
      </c>
      <c r="BW7" s="12">
        <f>SUMIFS('Raw Data'!$N$3:$N$5000,'Raw Data'!$P$3:$P$5000,"W25",'Raw Data'!$Q$3:$Q$5000,"Not received")</f>
        <v>0</v>
      </c>
      <c r="BX7" s="13">
        <f>SUMIFS('Raw Data'!$E$3:$E$5000,'Raw Data'!$P$3:$P$5000,"W25",'Raw Data'!$Q$3:$Q$5000,"Not received")</f>
        <v>0</v>
      </c>
      <c r="BY7" s="12">
        <f>SUMIFS('Raw Data'!$M$3:$M$5000,'Raw Data'!$P$3:$P$5000,"W26",'Raw Data'!$Q$3:$Q$5000,"Not received")</f>
        <v>0</v>
      </c>
      <c r="BZ7" s="12">
        <f>SUMIFS('Raw Data'!$N$3:$N$5000,'Raw Data'!$P$3:$P$5000,"W26",'Raw Data'!$Q$3:$Q$5000,"Not received")</f>
        <v>0</v>
      </c>
      <c r="CA7" s="13">
        <f>SUMIFS('Raw Data'!$E$3:$E$5000,'Raw Data'!$P$3:$P$5000,"W26",'Raw Data'!$Q$3:$Q$5000,"Not received")</f>
        <v>0</v>
      </c>
      <c r="CB7" s="12">
        <f>SUMIFS('Raw Data'!$M$3:$M$5000,'Raw Data'!$P$3:$P$5000,"W27",'Raw Data'!$Q$3:$Q$5000,"Not received")</f>
        <v>0</v>
      </c>
      <c r="CC7" s="12">
        <f>SUMIFS('Raw Data'!$N$3:$N$5000,'Raw Data'!$P$3:$P$5000,"W27",'Raw Data'!$Q$3:$Q$5000,"Not received")</f>
        <v>0</v>
      </c>
      <c r="CD7" s="13">
        <f>SUMIFS('Raw Data'!$E$3:$E$5000,'Raw Data'!$P$3:$P$5000,"W27",'Raw Data'!$Q$3:$Q$5000,"Not received")</f>
        <v>0</v>
      </c>
      <c r="CE7" s="12">
        <f>SUMIFS('Raw Data'!$M$3:$M$5000,'Raw Data'!$P$3:$P$5000,"W28",'Raw Data'!$Q$3:$Q$5000,"Not received")</f>
        <v>0</v>
      </c>
      <c r="CF7" s="12">
        <f>SUMIFS('Raw Data'!$N$3:$N$5000,'Raw Data'!$P$3:$P$5000,"W28",'Raw Data'!$Q$3:$Q$5000,"Not received")</f>
        <v>0</v>
      </c>
      <c r="CG7" s="13">
        <f>SUMIFS('Raw Data'!$E$3:$E$5000,'Raw Data'!$P$3:$P$5000,"W28",'Raw Data'!$Q$3:$Q$5000,"Not received")</f>
        <v>0</v>
      </c>
      <c r="CH7" s="12">
        <f>SUMIFS('Raw Data'!$M$3:$M$5000,'Raw Data'!$P$3:$P$5000,"W29",'Raw Data'!$Q$3:$Q$5000,"Not received")</f>
        <v>0</v>
      </c>
      <c r="CI7" s="12">
        <f>SUMIFS('Raw Data'!$N$3:$N$5000,'Raw Data'!$P$3:$P$5000,"W29",'Raw Data'!$Q$3:$Q$5000,"Not received")</f>
        <v>0</v>
      </c>
      <c r="CJ7" s="13">
        <f>SUMIFS('Raw Data'!$E$3:$E$5000,'Raw Data'!$P$3:$P$5000,"W29",'Raw Data'!$Q$3:$Q$5000,"Not received")</f>
        <v>0</v>
      </c>
      <c r="CK7" s="12">
        <f>SUMIFS('Raw Data'!$M$3:$M$5000,'Raw Data'!$P$3:$P$5000,"W30",'Raw Data'!$Q$3:$Q$5000,"Not received")</f>
        <v>0</v>
      </c>
      <c r="CL7" s="12">
        <f>SUMIFS('Raw Data'!$N$3:$N$5000,'Raw Data'!$P$3:$P$5000,"W30",'Raw Data'!$Q$3:$Q$5000,"Not received")</f>
        <v>0</v>
      </c>
      <c r="CM7" s="13">
        <f>SUMIFS('Raw Data'!$E$3:$E$5000,'Raw Data'!$P$3:$P$5000,"W30",'Raw Data'!$Q$3:$Q$5000,"Not received")</f>
        <v>0</v>
      </c>
      <c r="CN7" s="12">
        <f>SUMIFS('Raw Data'!$M$3:$M$5000,'Raw Data'!$P$3:$P$5000,"W31",'Raw Data'!$Q$3:$Q$5000,"Not received")</f>
        <v>0</v>
      </c>
      <c r="CO7" s="12">
        <f>SUMIFS('Raw Data'!$N$3:$N$5000,'Raw Data'!$P$3:$P$5000,"W31",'Raw Data'!$Q$3:$Q$5000,"Not received")</f>
        <v>0</v>
      </c>
      <c r="CP7" s="13">
        <f>SUMIFS('Raw Data'!$E$3:$E$5000,'Raw Data'!$P$3:$P$5000,"W31",'Raw Data'!$Q$3:$Q$5000,"Not received")</f>
        <v>0</v>
      </c>
      <c r="CQ7" s="12">
        <f>SUMIFS('Raw Data'!$M$3:$M$5000,'Raw Data'!$P$3:$P$5000,"W32",'Raw Data'!$Q$3:$Q$5000,"Not received")</f>
        <v>0</v>
      </c>
      <c r="CR7" s="12">
        <f>SUMIFS('Raw Data'!$N$3:$N$5000,'Raw Data'!$P$3:$P$5000,"W32",'Raw Data'!$Q$3:$Q$5000,"Not received")</f>
        <v>0</v>
      </c>
      <c r="CS7" s="13">
        <f>SUMIFS('Raw Data'!$E$3:$E$5000,'Raw Data'!$P$3:$P$5000,"W32",'Raw Data'!$Q$3:$Q$5000,"Not received")</f>
        <v>0</v>
      </c>
      <c r="CT7" s="12">
        <f>SUMIFS('Raw Data'!$M$3:$M$5000,'Raw Data'!$P$3:$P$5000,"W33",'Raw Data'!$Q$3:$Q$5000,"Not received")</f>
        <v>0</v>
      </c>
      <c r="CU7" s="12">
        <f>SUMIFS('Raw Data'!$N$3:$N$5000,'Raw Data'!$P$3:$P$5000,"W33",'Raw Data'!$Q$3:$Q$5000,"Not received")</f>
        <v>0</v>
      </c>
      <c r="CV7" s="13">
        <f>SUMIFS('Raw Data'!$E$3:$E$5000,'Raw Data'!$P$3:$P$5000,"W33",'Raw Data'!$Q$3:$Q$5000,"Not received")</f>
        <v>0</v>
      </c>
      <c r="CW7" s="12">
        <f>SUMIFS('Raw Data'!$M$3:$M$5000,'Raw Data'!$P$3:$P$5000,"W34",'Raw Data'!$Q$3:$Q$5000,"Not received")</f>
        <v>0</v>
      </c>
      <c r="CX7" s="12">
        <f>SUMIFS('Raw Data'!$N$3:$N$5000,'Raw Data'!$P$3:$P$5000,"W34",'Raw Data'!$Q$3:$Q$5000,"Not received")</f>
        <v>0</v>
      </c>
      <c r="CY7" s="13">
        <f>SUMIFS('Raw Data'!$E$3:$E$5000,'Raw Data'!$P$3:$P$5000,"W34",'Raw Data'!$Q$3:$Q$5000,"Not received")</f>
        <v>0</v>
      </c>
      <c r="CZ7" s="12">
        <f>SUMIFS('Raw Data'!$M$3:$M$5000,'Raw Data'!$P$3:$P$5000,"W35",'Raw Data'!$Q$3:$Q$5000,"Not received")</f>
        <v>0</v>
      </c>
      <c r="DA7" s="12">
        <f>SUMIFS('Raw Data'!$N$3:$N$5000,'Raw Data'!$P$3:$P$5000,"W35",'Raw Data'!$Q$3:$Q$5000,"Not received")</f>
        <v>0</v>
      </c>
      <c r="DB7" s="13">
        <f>SUMIFS('Raw Data'!$E$3:$E$5000,'Raw Data'!$P$3:$P$5000,"W35",'Raw Data'!$Q$3:$Q$5000,"Not received")</f>
        <v>0</v>
      </c>
      <c r="DC7" s="12">
        <f>SUMIFS('Raw Data'!$M$3:$M$5000,'Raw Data'!$P$3:$P$5000,"W36",'Raw Data'!$Q$3:$Q$5000,"Not received")</f>
        <v>0</v>
      </c>
      <c r="DD7" s="12">
        <f>SUMIFS('Raw Data'!$N$3:$N$5000,'Raw Data'!$P$3:$P$5000,"W36",'Raw Data'!$Q$3:$Q$5000,"Not received")</f>
        <v>0</v>
      </c>
      <c r="DE7" s="13">
        <f>SUMIFS('Raw Data'!$E$3:$E$5000,'Raw Data'!$P$3:$P$5000,"W36",'Raw Data'!$Q$3:$Q$5000,"Not received")</f>
        <v>0</v>
      </c>
      <c r="DF7" s="12">
        <f>SUMIFS('Raw Data'!$M$3:$M$5000,'Raw Data'!$P$3:$P$5000,"W37",'Raw Data'!$Q$3:$Q$5000,"Not received")</f>
        <v>0</v>
      </c>
      <c r="DG7" s="12">
        <f>SUMIFS('Raw Data'!$N$3:$N$5000,'Raw Data'!$P$3:$P$5000,"W37",'Raw Data'!$Q$3:$Q$5000,"Not received")</f>
        <v>0</v>
      </c>
      <c r="DH7" s="13">
        <f>SUMIFS('Raw Data'!$E$3:$E$5000,'Raw Data'!$P$3:$P$5000,"W37",'Raw Data'!$Q$3:$Q$5000,"Not received")</f>
        <v>0</v>
      </c>
      <c r="DI7" s="12">
        <f>SUMIFS('Raw Data'!$M$3:$M$5000,'Raw Data'!$P$3:$P$5000,"W38",'Raw Data'!$Q$3:$Q$5000,"Not received")</f>
        <v>0</v>
      </c>
      <c r="DJ7" s="12">
        <f>SUMIFS('Raw Data'!$N$3:$N$5000,'Raw Data'!$P$3:$P$5000,"W38",'Raw Data'!$Q$3:$Q$5000,"Not received")</f>
        <v>0</v>
      </c>
      <c r="DK7" s="13">
        <f>SUMIFS('Raw Data'!$E$3:$E$5000,'Raw Data'!$P$3:$P$5000,"W38",'Raw Data'!$Q$3:$Q$5000,"Not received")</f>
        <v>0</v>
      </c>
      <c r="DL7" s="12">
        <f>SUMIFS('Raw Data'!$M$3:$M$5000,'Raw Data'!$P$3:$P$5000,"W39",'Raw Data'!$Q$3:$Q$5000,"Not received")</f>
        <v>0</v>
      </c>
      <c r="DM7" s="12">
        <f>SUMIFS('Raw Data'!$N$3:$N$5000,'Raw Data'!$P$3:$P$5000,"W39",'Raw Data'!$Q$3:$Q$5000,"Not received")</f>
        <v>0</v>
      </c>
      <c r="DN7" s="13">
        <f>SUMIFS('Raw Data'!$E$3:$E$5000,'Raw Data'!$P$3:$P$5000,"W39",'Raw Data'!$Q$3:$Q$5000,"Not received")</f>
        <v>0</v>
      </c>
      <c r="DO7" s="12">
        <f>SUMIFS('Raw Data'!$M$3:$M$5000,'Raw Data'!$P$3:$P$5000,"W40",'Raw Data'!$Q$3:$Q$5000,"Not received")</f>
        <v>0</v>
      </c>
      <c r="DP7" s="12">
        <f>SUMIFS('Raw Data'!$N$3:$N$5000,'Raw Data'!$P$3:$P$5000,"W40",'Raw Data'!$Q$3:$Q$5000,"Not received")</f>
        <v>0</v>
      </c>
      <c r="DQ7" s="13">
        <f>SUMIFS('Raw Data'!$E$3:$E$5000,'Raw Data'!$P$3:$P$5000,"W40",'Raw Data'!$Q$3:$Q$5000,"Not received")</f>
        <v>0</v>
      </c>
      <c r="DR7" s="12">
        <f>SUMIFS('Raw Data'!$M$3:$M$5000,'Raw Data'!$P$3:$P$5000,"W41",'Raw Data'!$Q$3:$Q$5000,"Not received")</f>
        <v>0</v>
      </c>
      <c r="DS7" s="12">
        <f>SUMIFS('Raw Data'!$N$3:$N$5000,'Raw Data'!$P$3:$P$5000,"W41",'Raw Data'!$Q$3:$Q$5000,"Not received")</f>
        <v>0</v>
      </c>
      <c r="DT7" s="13">
        <f>SUMIFS('Raw Data'!$E$3:$E$5000,'Raw Data'!$P$3:$P$5000,"W41",'Raw Data'!$Q$3:$Q$5000,"Not received")</f>
        <v>0</v>
      </c>
      <c r="DU7" s="12">
        <f>SUMIFS('Raw Data'!$M$3:$M$5000,'Raw Data'!$P$3:$P$5000,"W42",'Raw Data'!$Q$3:$Q$5000,"Not received")</f>
        <v>0</v>
      </c>
      <c r="DV7" s="12">
        <f>SUMIFS('Raw Data'!$N$3:$N$5000,'Raw Data'!$P$3:$P$5000,"W42",'Raw Data'!$Q$3:$Q$5000,"Not received")</f>
        <v>0</v>
      </c>
      <c r="DW7" s="13">
        <f>SUMIFS('Raw Data'!$E$3:$E$5000,'Raw Data'!$P$3:$P$5000,"W42",'Raw Data'!$Q$3:$Q$5000,"Not received")</f>
        <v>0</v>
      </c>
      <c r="DX7" s="12">
        <f>SUMIFS('Raw Data'!$M$3:$M$5000,'Raw Data'!$P$3:$P$5000,"W43",'Raw Data'!$Q$3:$Q$5000,"Not received")</f>
        <v>0</v>
      </c>
      <c r="DY7" s="12">
        <f>SUMIFS('Raw Data'!$N$3:$N$5000,'Raw Data'!$P$3:$P$5000,"W43",'Raw Data'!$Q$3:$Q$5000,"Not received")</f>
        <v>0</v>
      </c>
      <c r="DZ7" s="13">
        <f>SUMIFS('Raw Data'!$E$3:$E$5000,'Raw Data'!$P$3:$P$5000,"W43",'Raw Data'!$Q$3:$Q$5000,"Not received")</f>
        <v>0</v>
      </c>
      <c r="EA7" s="12">
        <f>SUMIFS('Raw Data'!$M$3:$M$5000,'Raw Data'!$P$3:$P$5000,"W44",'Raw Data'!$Q$3:$Q$5000,"Not received")</f>
        <v>0</v>
      </c>
      <c r="EB7" s="12">
        <f>SUMIFS('Raw Data'!$N$3:$N$5000,'Raw Data'!$P$3:$P$5000,"W44",'Raw Data'!$Q$3:$Q$5000,"Not received")</f>
        <v>0</v>
      </c>
      <c r="EC7" s="13">
        <f>SUMIFS('Raw Data'!$E$3:$E$5000,'Raw Data'!$P$3:$P$5000,"W44",'Raw Data'!$Q$3:$Q$5000,"Not received")</f>
        <v>0</v>
      </c>
      <c r="ED7" s="12">
        <f>SUMIFS('Raw Data'!$M$3:$M$5000,'Raw Data'!$P$3:$P$5000,"W45",'Raw Data'!$Q$3:$Q$5000,"Not received")</f>
        <v>0</v>
      </c>
      <c r="EE7" s="12">
        <f>SUMIFS('Raw Data'!$N$3:$N$5000,'Raw Data'!$P$3:$P$5000,"W45",'Raw Data'!$Q$3:$Q$5000,"Not received")</f>
        <v>0</v>
      </c>
      <c r="EF7" s="13">
        <f>SUMIFS('Raw Data'!$E$3:$E$5000,'Raw Data'!$P$3:$P$5000,"W45",'Raw Data'!$Q$3:$Q$5000,"Not received")</f>
        <v>0</v>
      </c>
      <c r="EG7" s="12">
        <f>SUMIFS('Raw Data'!$M$3:$M$5000,'Raw Data'!$P$3:$P$5000,"W46",'Raw Data'!$Q$3:$Q$5000,"Not received")</f>
        <v>0</v>
      </c>
      <c r="EH7" s="12">
        <f>SUMIFS('Raw Data'!$N$3:$N$5000,'Raw Data'!$P$3:$P$5000,"W46",'Raw Data'!$Q$3:$Q$5000,"Not received")</f>
        <v>0</v>
      </c>
      <c r="EI7" s="13">
        <f>SUMIFS('Raw Data'!$E$3:$E$5000,'Raw Data'!$P$3:$P$5000,"W46",'Raw Data'!$Q$3:$Q$5000,"Not received")</f>
        <v>0</v>
      </c>
      <c r="EJ7" s="12">
        <f>SUMIFS('Raw Data'!$M$3:$M$5000,'Raw Data'!$P$3:$P$5000,"W47",'Raw Data'!$Q$3:$Q$5000,"Not received")</f>
        <v>0</v>
      </c>
      <c r="EK7" s="12">
        <f>SUMIFS('Raw Data'!$N$3:$N$5000,'Raw Data'!$P$3:$P$5000,"W47",'Raw Data'!$Q$3:$Q$5000,"Not received")</f>
        <v>0</v>
      </c>
      <c r="EL7" s="13">
        <f>SUMIFS('Raw Data'!$E$3:$E$5000,'Raw Data'!$P$3:$P$5000,"W47",'Raw Data'!$Q$3:$Q$5000,"Not received")</f>
        <v>0</v>
      </c>
      <c r="EM7" s="12">
        <f>SUMIFS('Raw Data'!$M$3:$M$5000,'Raw Data'!$P$3:$P$5000,"W48",'Raw Data'!$Q$3:$Q$5000,"Not received")</f>
        <v>0</v>
      </c>
      <c r="EN7" s="12">
        <f>SUMIFS('Raw Data'!$N$3:$N$5000,'Raw Data'!$P$3:$P$5000,"W48",'Raw Data'!$Q$3:$Q$5000,"Not received")</f>
        <v>0</v>
      </c>
      <c r="EO7" s="13">
        <f>SUMIFS('Raw Data'!$E$3:$E$5000,'Raw Data'!$P$3:$P$5000,"W48",'Raw Data'!$Q$3:$Q$5000,"Not received")</f>
        <v>0</v>
      </c>
      <c r="EP7" s="12">
        <f>SUMIFS('Raw Data'!$M$3:$M$5000,'Raw Data'!$P$3:$P$5000,"W49",'Raw Data'!$Q$3:$Q$5000,"Not received")</f>
        <v>0</v>
      </c>
      <c r="EQ7" s="12">
        <f>SUMIFS('Raw Data'!$N$3:$N$5000,'Raw Data'!$P$3:$P$5000,"W49",'Raw Data'!$Q$3:$Q$5000,"Not received")</f>
        <v>0</v>
      </c>
      <c r="ER7" s="13">
        <f>SUMIFS('Raw Data'!$E$3:$E$5000,'Raw Data'!$P$3:$P$5000,"W49",'Raw Data'!$Q$3:$Q$5000,"Not received")</f>
        <v>0</v>
      </c>
      <c r="ES7" s="12">
        <f>SUMIFS('Raw Data'!$M$3:$M$5000,'Raw Data'!$P$3:$P$5000,"W50",'Raw Data'!$Q$3:$Q$5000,"Not received")</f>
        <v>0</v>
      </c>
      <c r="ET7" s="12">
        <f>SUMIFS('Raw Data'!$N$3:$N$5000,'Raw Data'!$P$3:$P$5000,"W50",'Raw Data'!$Q$3:$Q$5000,"Not received")</f>
        <v>0</v>
      </c>
      <c r="EU7" s="13">
        <f>SUMIFS('Raw Data'!$E$3:$E$5000,'Raw Data'!$P$3:$P$5000,"W50",'Raw Data'!$Q$3:$Q$5000,"Not received")</f>
        <v>0</v>
      </c>
      <c r="EV7" s="12">
        <f>SUMIFS('Raw Data'!$M$3:$M$5000,'Raw Data'!$P$3:$P$5000,"W51",'Raw Data'!$Q$3:$Q$5000,"Not received")</f>
        <v>0</v>
      </c>
      <c r="EW7" s="12">
        <f>SUMIFS('Raw Data'!$N$3:$N$5000,'Raw Data'!$P$3:$P$5000,"W51",'Raw Data'!$Q$3:$Q$5000,"Not received")</f>
        <v>0</v>
      </c>
      <c r="EX7" s="13">
        <f>SUMIFS('Raw Data'!$E$3:$E$5000,'Raw Data'!$P$3:$P$5000,"W51",'Raw Data'!$Q$3:$Q$5000,"Not received")</f>
        <v>0</v>
      </c>
      <c r="EY7" s="12">
        <f>SUMIFS('Raw Data'!$M$3:$M$5000,'Raw Data'!$P$3:$P$5000,"W52",'Raw Data'!$Q$3:$Q$5000,"Not received")</f>
        <v>0</v>
      </c>
      <c r="EZ7" s="12">
        <f>SUMIFS('Raw Data'!$N$3:$N$5000,'Raw Data'!$P$3:$P$5000,"W52",'Raw Data'!$Q$3:$Q$5000,"Not received")</f>
        <v>0</v>
      </c>
      <c r="FA7" s="13">
        <f>SUMIFS('Raw Data'!$E$3:$E$5000,'Raw Data'!$P$3:$P$5000,"W52",'Raw Data'!$Q$3:$Q$5000,"Not received")</f>
        <v>0</v>
      </c>
      <c r="FB7" s="6">
        <f t="shared" ref="FB7:FD7" si="2">B7+E7+H7+K7+N7+Q7+T7+W7+Z7+AC7+AF7+AI7+AL7+AO7+AR7+AU7+AX7+BA7+BD7+BG7+BJ7+BM7+BP7+BS7+BV7+BY7+CB7+CE7+CH7+CK7+CN7+CQ7+CT7+CW7+CZ7+DC7+DF7+DI7+DL7+DO7+DR7+DU7+DX7+EA7+ED7+EG7+EJ7+EM7+EP7+ES7+EV7+EY7</f>
        <v>5108.66</v>
      </c>
      <c r="FC7" s="6">
        <f t="shared" si="2"/>
        <v>10948.36</v>
      </c>
      <c r="FD7" s="7">
        <f t="shared" si="2"/>
        <v>75</v>
      </c>
    </row>
    <row r="8" spans="1:160" ht="4.5" customHeigh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</row>
    <row r="9" spans="1:160" ht="19.5" customHeight="1" x14ac:dyDescent="0.3">
      <c r="A9" s="15" t="s">
        <v>62</v>
      </c>
      <c r="B9" s="16">
        <f>SUMIFS('Raw Data'!$M$3:$M$5000,'Raw Data'!$P$3:$P$5000,"W1",'Raw Data'!$R$3:$R$5000,"A")</f>
        <v>0</v>
      </c>
      <c r="C9" s="16">
        <f>SUMIFS('Raw Data'!$N$3:$N$5000,'Raw Data'!$P$3:$P$5000,"W1",'Raw Data'!$R$3:$R$5000,"A")</f>
        <v>0</v>
      </c>
      <c r="D9" s="17">
        <f>SUMIFS('Raw Data'!$E$3:$E$5000,'Raw Data'!$P$3:$P$5000,"W1",'Raw Data'!$R$3:$R$5000,"A")</f>
        <v>0</v>
      </c>
      <c r="E9" s="16">
        <f>SUMIFS('Raw Data'!$M$3:$M$5000,'Raw Data'!$P$3:$P$5000,"W2",'Raw Data'!$R$3:$R$5000,"A")</f>
        <v>0</v>
      </c>
      <c r="F9" s="16">
        <f>SUMIFS('Raw Data'!$N$3:$N$5000,'Raw Data'!$P$3:$P$5000,"W2",'Raw Data'!$R$3:$R$5000,"A")</f>
        <v>0</v>
      </c>
      <c r="G9" s="17">
        <f>SUMIFS('Raw Data'!$E$3:$E$5000,'Raw Data'!$P$3:$P$5000,"W2",'Raw Data'!$R$3:$R$5000,"A")</f>
        <v>0</v>
      </c>
      <c r="H9" s="16">
        <f>SUMIFS('Raw Data'!$M$3:$M$5000,'Raw Data'!$P$3:$P$5000,"W3",'Raw Data'!$R$3:$R$5000,"A")</f>
        <v>0</v>
      </c>
      <c r="I9" s="16">
        <f>SUMIFS('Raw Data'!$N$3:$N$5000,'Raw Data'!$P$3:$P$5000,"W3",'Raw Data'!$R$3:$R$5000,"A")</f>
        <v>0</v>
      </c>
      <c r="J9" s="17">
        <f>SUMIFS('Raw Data'!$E$3:$E$5000,'Raw Data'!$P$3:$P$5000,"W3",'Raw Data'!$R$3:$R$5000,"A")</f>
        <v>0</v>
      </c>
      <c r="K9" s="16">
        <f>SUMIFS('Raw Data'!$M$3:$M$5000,'Raw Data'!$P$3:$P$5000,"W4",'Raw Data'!$R$3:$R$5000,"A")</f>
        <v>0</v>
      </c>
      <c r="L9" s="16">
        <f>SUMIFS('Raw Data'!$N$3:$N$5000,'Raw Data'!$P$3:$P$5000,"W4",'Raw Data'!$R$3:$R$5000,"A")</f>
        <v>0</v>
      </c>
      <c r="M9" s="17">
        <f>SUMIFS('Raw Data'!$E$3:$E$5000,'Raw Data'!$P$3:$P$5000,"W4",'Raw Data'!$R$3:$R$5000,"A")</f>
        <v>0</v>
      </c>
      <c r="N9" s="16">
        <f>SUMIFS('Raw Data'!$M$3:$M$5000,'Raw Data'!$P$3:$P$5000,"W5",'Raw Data'!$R$3:$R$5000,"A")</f>
        <v>0</v>
      </c>
      <c r="O9" s="16">
        <f>SUMIFS('Raw Data'!$N$3:$N$5000,'Raw Data'!$P$3:$P$5000,"W5",'Raw Data'!$R$3:$R$5000,"A")</f>
        <v>0</v>
      </c>
      <c r="P9" s="17">
        <f>SUMIFS('Raw Data'!$E$3:$E$5000,'Raw Data'!$P$3:$P$5000,"W5",'Raw Data'!$R$3:$R$5000,"A")</f>
        <v>0</v>
      </c>
      <c r="Q9" s="16">
        <f>SUMIFS('Raw Data'!$M$3:$M$5000,'Raw Data'!$P$3:$P$5000,"W6",'Raw Data'!$R$3:$R$5000,"A")</f>
        <v>0</v>
      </c>
      <c r="R9" s="16">
        <f>SUMIFS('Raw Data'!$N$3:$N$5000,'Raw Data'!$P$3:$P$5000,"W6",'Raw Data'!$R$3:$R$5000,"A")</f>
        <v>0</v>
      </c>
      <c r="S9" s="17">
        <f>SUMIFS('Raw Data'!$E$3:$E$5000,'Raw Data'!$P$3:$P$5000,"W6",'Raw Data'!$R$3:$R$5000,"A")</f>
        <v>0</v>
      </c>
      <c r="T9" s="16">
        <f>SUMIFS('Raw Data'!$M$3:$M$5000,'Raw Data'!$P$3:$P$5000,"W7",'Raw Data'!$R$3:$R$5000,"A")</f>
        <v>0</v>
      </c>
      <c r="U9" s="16">
        <f>SUMIFS('Raw Data'!$N$3:$N$5000,'Raw Data'!$P$3:$P$5000,"W7",'Raw Data'!$R$3:$R$5000,"A")</f>
        <v>0</v>
      </c>
      <c r="V9" s="17">
        <f>SUMIFS('Raw Data'!$E$3:$E$5000,'Raw Data'!$P$3:$P$5000,"W7",'Raw Data'!$R$3:$R$5000,"A")</f>
        <v>0</v>
      </c>
      <c r="W9" s="16">
        <f>SUMIFS('Raw Data'!$M$3:$M$5000,'Raw Data'!$P$3:$P$5000,"W8",'Raw Data'!$R$3:$R$5000,"A")</f>
        <v>0</v>
      </c>
      <c r="X9" s="16">
        <f>SUMIFS('Raw Data'!$N$3:$N$5000,'Raw Data'!$P$3:$P$5000,"W8",'Raw Data'!$R$3:$R$5000,"A")</f>
        <v>0</v>
      </c>
      <c r="Y9" s="17">
        <f>SUMIFS('Raw Data'!$E$3:$E$5000,'Raw Data'!$P$3:$P$5000,"W8",'Raw Data'!$R$3:$R$5000,"A")</f>
        <v>0</v>
      </c>
      <c r="Z9" s="16">
        <f>SUMIFS('Raw Data'!$M$3:$M$5000,'Raw Data'!$P$3:$P$5000,"W9",'Raw Data'!$R$3:$R$5000,"A")</f>
        <v>441</v>
      </c>
      <c r="AA9" s="16">
        <f>SUMIFS('Raw Data'!$N$3:$N$5000,'Raw Data'!$P$3:$P$5000,"W9",'Raw Data'!$R$3:$R$5000,"A")</f>
        <v>1121</v>
      </c>
      <c r="AB9" s="17">
        <f>SUMIFS('Raw Data'!$E$3:$E$5000,'Raw Data'!$P$3:$P$5000,"W9",'Raw Data'!$R$3:$R$5000,"A")</f>
        <v>16</v>
      </c>
      <c r="AC9" s="16">
        <f>SUMIFS('Raw Data'!$M$3:$M$5000,'Raw Data'!$P$3:$P$5000,"W10",'Raw Data'!$R$3:$R$5000,"A")</f>
        <v>73.7</v>
      </c>
      <c r="AD9" s="16">
        <f>SUMIFS('Raw Data'!$N$3:$N$5000,'Raw Data'!$P$3:$P$5000,"W10",'Raw Data'!$R$3:$R$5000,"A")</f>
        <v>175.16</v>
      </c>
      <c r="AE9" s="17">
        <f>SUMIFS('Raw Data'!$E$3:$E$5000,'Raw Data'!$P$3:$P$5000,"W10",'Raw Data'!$R$3:$R$5000,"A")</f>
        <v>2</v>
      </c>
      <c r="AF9" s="16">
        <f>SUMIFS('Raw Data'!$M$3:$M$5000,'Raw Data'!$P$3:$P$5000,"W11",'Raw Data'!$R$3:$R$5000,"A")</f>
        <v>316</v>
      </c>
      <c r="AG9" s="16">
        <f>SUMIFS('Raw Data'!$N$3:$N$5000,'Raw Data'!$P$3:$P$5000,"W11",'Raw Data'!$R$3:$R$5000,"A")</f>
        <v>677</v>
      </c>
      <c r="AH9" s="17">
        <f>SUMIFS('Raw Data'!$E$3:$E$5000,'Raw Data'!$P$3:$P$5000,"W11",'Raw Data'!$R$3:$R$5000,"A")</f>
        <v>27</v>
      </c>
      <c r="AI9" s="16">
        <f>SUMIFS('Raw Data'!$M$3:$M$5000,'Raw Data'!$P$3:$P$5000,"W12",'Raw Data'!$R$3:$R$5000,"A")</f>
        <v>0</v>
      </c>
      <c r="AJ9" s="16">
        <f>SUMIFS('Raw Data'!$N$3:$N$5000,'Raw Data'!$P$3:$P$5000,"W12",'Raw Data'!$R$3:$R$5000,"A")</f>
        <v>0</v>
      </c>
      <c r="AK9" s="17">
        <f>SUMIFS('Raw Data'!$E$3:$E$5000,'Raw Data'!$P$3:$P$5000,"W12",'Raw Data'!$R$3:$R$5000,"A")</f>
        <v>0</v>
      </c>
      <c r="AL9" s="16">
        <f>SUMIFS('Raw Data'!$M$3:$M$5000,'Raw Data'!$P$3:$P$5000,"W13",'Raw Data'!$R$3:$R$5000,"A")</f>
        <v>0</v>
      </c>
      <c r="AM9" s="16">
        <f>SUMIFS('Raw Data'!$N$3:$N$5000,'Raw Data'!$P$3:$P$5000,"W13",'Raw Data'!$R$3:$R$5000,"A")</f>
        <v>0</v>
      </c>
      <c r="AN9" s="17">
        <f>SUMIFS('Raw Data'!$E$3:$E$5000,'Raw Data'!$P$3:$P$5000,"W13",'Raw Data'!$R$3:$R$5000,"A")</f>
        <v>0</v>
      </c>
      <c r="AO9" s="16">
        <f>SUMIFS('Raw Data'!$M$3:$M$5000,'Raw Data'!$P$3:$P$5000,"W14",'Raw Data'!$R$3:$R$5000,"A")</f>
        <v>0</v>
      </c>
      <c r="AP9" s="16">
        <f>SUMIFS('Raw Data'!$N$3:$N$5000,'Raw Data'!$P$3:$P$5000,"W14",'Raw Data'!$R$3:$R$5000,"A")</f>
        <v>0</v>
      </c>
      <c r="AQ9" s="17">
        <f>SUMIFS('Raw Data'!$E$3:$E$5000,'Raw Data'!$P$3:$P$5000,"W14",'Raw Data'!$R$3:$R$5000,"A")</f>
        <v>0</v>
      </c>
      <c r="AR9" s="16">
        <f>SUMIFS('Raw Data'!$M$3:$M$5000,'Raw Data'!$P$3:$P$5000,"W15",'Raw Data'!$R$3:$R$5000,"A")</f>
        <v>0</v>
      </c>
      <c r="AS9" s="16">
        <f>SUMIFS('Raw Data'!$N$3:$N$5000,'Raw Data'!$P$3:$P$5000,"W15",'Raw Data'!$R$3:$R$5000,"A")</f>
        <v>0</v>
      </c>
      <c r="AT9" s="17">
        <f>SUMIFS('Raw Data'!$E$3:$E$5000,'Raw Data'!$P$3:$P$5000,"W15",'Raw Data'!$R$3:$R$5000,"A")</f>
        <v>0</v>
      </c>
      <c r="AU9" s="16">
        <f>SUMIFS('Raw Data'!$M$3:$M$5000,'Raw Data'!$P$3:$P$5000,"W16",'Raw Data'!$R$3:$R$5000,"A")</f>
        <v>0</v>
      </c>
      <c r="AV9" s="16">
        <f>SUMIFS('Raw Data'!$N$3:$N$5000,'Raw Data'!$P$3:$P$5000,"W16",'Raw Data'!$R$3:$R$5000,"A")</f>
        <v>0</v>
      </c>
      <c r="AW9" s="17">
        <f>SUMIFS('Raw Data'!$E$3:$E$5000,'Raw Data'!$P$3:$P$5000,"W16",'Raw Data'!$R$3:$R$5000,"A")</f>
        <v>0</v>
      </c>
      <c r="AX9" s="16">
        <f>SUMIFS('Raw Data'!$M$3:$M$5000,'Raw Data'!$P$3:$P$5000,"W17",'Raw Data'!$R$3:$R$5000,"A")</f>
        <v>0</v>
      </c>
      <c r="AY9" s="16">
        <f>SUMIFS('Raw Data'!$N$3:$N$5000,'Raw Data'!$P$3:$P$5000,"W17",'Raw Data'!$R$3:$R$5000,"A")</f>
        <v>0</v>
      </c>
      <c r="AZ9" s="17">
        <f>SUMIFS('Raw Data'!$E$3:$E$5000,'Raw Data'!$P$3:$P$5000,"W17",'Raw Data'!$R$3:$R$5000,"A")</f>
        <v>0</v>
      </c>
      <c r="BA9" s="16">
        <f>SUMIFS('Raw Data'!$M$3:$M$5000,'Raw Data'!$P$3:$P$5000,"W18",'Raw Data'!$R$3:$R$5000,"A")</f>
        <v>0</v>
      </c>
      <c r="BB9" s="16">
        <f>SUMIFS('Raw Data'!$N$3:$N$5000,'Raw Data'!$P$3:$P$5000,"W18",'Raw Data'!$R$3:$R$5000,"A")</f>
        <v>0</v>
      </c>
      <c r="BC9" s="17">
        <f>SUMIFS('Raw Data'!$E$3:$E$5000,'Raw Data'!$P$3:$P$5000,"W18",'Raw Data'!$R$3:$R$5000,"A")</f>
        <v>0</v>
      </c>
      <c r="BD9" s="16">
        <f>SUMIFS('Raw Data'!$M$3:$M$5000,'Raw Data'!$P$3:$P$5000,"W19",'Raw Data'!$R$3:$R$5000,"A")</f>
        <v>0</v>
      </c>
      <c r="BE9" s="16">
        <f>SUMIFS('Raw Data'!$N$3:$N$5000,'Raw Data'!$P$3:$P$5000,"W19",'Raw Data'!$R$3:$R$5000,"A")</f>
        <v>0</v>
      </c>
      <c r="BF9" s="17">
        <f>SUMIFS('Raw Data'!$E$3:$E$5000,'Raw Data'!$P$3:$P$5000,"W19",'Raw Data'!$R$3:$R$5000,"A")</f>
        <v>0</v>
      </c>
      <c r="BG9" s="16">
        <f>SUMIFS('Raw Data'!$M$3:$M$5000,'Raw Data'!$P$3:$P$5000,"W20",'Raw Data'!$R$3:$R$5000,"A")</f>
        <v>0</v>
      </c>
      <c r="BH9" s="16">
        <f>SUMIFS('Raw Data'!$N$3:$N$5000,'Raw Data'!$P$3:$P$5000,"W20",'Raw Data'!$R$3:$R$5000,"A")</f>
        <v>0</v>
      </c>
      <c r="BI9" s="17">
        <f>SUMIFS('Raw Data'!$E$3:$E$5000,'Raw Data'!$P$3:$P$5000,"W20",'Raw Data'!$R$3:$R$5000,"A")</f>
        <v>0</v>
      </c>
      <c r="BJ9" s="16">
        <f>SUMIFS('Raw Data'!$M$3:$M$5000,'Raw Data'!$P$3:$P$5000,"W21",'Raw Data'!$R$3:$R$5000,"A")</f>
        <v>0</v>
      </c>
      <c r="BK9" s="16">
        <f>SUMIFS('Raw Data'!$N$3:$N$5000,'Raw Data'!$P$3:$P$5000,"W21",'Raw Data'!$R$3:$R$5000,"A")</f>
        <v>0</v>
      </c>
      <c r="BL9" s="17">
        <f>SUMIFS('Raw Data'!$E$3:$E$5000,'Raw Data'!$P$3:$P$5000,"W21",'Raw Data'!$R$3:$R$5000,"A")</f>
        <v>0</v>
      </c>
      <c r="BM9" s="16">
        <f>SUMIFS('Raw Data'!$M$3:$M$5000,'Raw Data'!$P$3:$P$5000,"W22",'Raw Data'!$R$3:$R$5000,"A")</f>
        <v>0</v>
      </c>
      <c r="BN9" s="16">
        <f>SUMIFS('Raw Data'!$N$3:$N$5000,'Raw Data'!$P$3:$P$5000,"W22",'Raw Data'!$R$3:$R$5000,"A")</f>
        <v>0</v>
      </c>
      <c r="BO9" s="17">
        <f>SUMIFS('Raw Data'!$E$3:$E$5000,'Raw Data'!$P$3:$P$5000,"W22",'Raw Data'!$R$3:$R$5000,"A")</f>
        <v>0</v>
      </c>
      <c r="BP9" s="16">
        <f>SUMIFS('Raw Data'!$M$3:$M$5000,'Raw Data'!$P$3:$P$5000,"W23",'Raw Data'!$R$3:$R$5000,"A")</f>
        <v>0</v>
      </c>
      <c r="BQ9" s="16">
        <f>SUMIFS('Raw Data'!$N$3:$N$5000,'Raw Data'!$P$3:$P$5000,"W23",'Raw Data'!$R$3:$R$5000,"A")</f>
        <v>0</v>
      </c>
      <c r="BR9" s="17">
        <f>SUMIFS('Raw Data'!$E$3:$E$5000,'Raw Data'!$P$3:$P$5000,"W23",'Raw Data'!$R$3:$R$5000,"A")</f>
        <v>0</v>
      </c>
      <c r="BS9" s="16">
        <f>SUMIFS('Raw Data'!$M$3:$M$5000,'Raw Data'!$P$3:$P$5000,"W24",'Raw Data'!$R$3:$R$5000,"A")</f>
        <v>0</v>
      </c>
      <c r="BT9" s="16">
        <f>SUMIFS('Raw Data'!$N$3:$N$5000,'Raw Data'!$P$3:$P$5000,"W24",'Raw Data'!$R$3:$R$5000,"A")</f>
        <v>0</v>
      </c>
      <c r="BU9" s="17">
        <f>SUMIFS('Raw Data'!$E$3:$E$5000,'Raw Data'!$P$3:$P$5000,"W24",'Raw Data'!$R$3:$R$5000,"A")</f>
        <v>0</v>
      </c>
      <c r="BV9" s="16">
        <f>SUMIFS('Raw Data'!$M$3:$M$5000,'Raw Data'!$P$3:$P$5000,"W25",'Raw Data'!$R$3:$R$5000,"A")</f>
        <v>0</v>
      </c>
      <c r="BW9" s="16">
        <f>SUMIFS('Raw Data'!$N$3:$N$5000,'Raw Data'!$P$3:$P$5000,"W25",'Raw Data'!$R$3:$R$5000,"A")</f>
        <v>0</v>
      </c>
      <c r="BX9" s="17">
        <f>SUMIFS('Raw Data'!$E$3:$E$5000,'Raw Data'!$P$3:$P$5000,"W25",'Raw Data'!$R$3:$R$5000,"A")</f>
        <v>0</v>
      </c>
      <c r="BY9" s="16">
        <f>SUMIFS('Raw Data'!$M$3:$M$5000,'Raw Data'!$P$3:$P$5000,"W26",'Raw Data'!$R$3:$R$5000,"A")</f>
        <v>0</v>
      </c>
      <c r="BZ9" s="16">
        <f>SUMIFS('Raw Data'!$N$3:$N$5000,'Raw Data'!$P$3:$P$5000,"W26",'Raw Data'!$R$3:$R$5000,"A")</f>
        <v>0</v>
      </c>
      <c r="CA9" s="17">
        <f>SUMIFS('Raw Data'!$E$3:$E$5000,'Raw Data'!$P$3:$P$5000,"W26",'Raw Data'!$R$3:$R$5000,"A")</f>
        <v>0</v>
      </c>
      <c r="CB9" s="16">
        <f>SUMIFS('Raw Data'!$M$3:$M$5000,'Raw Data'!$P$3:$P$5000,"W27",'Raw Data'!$R$3:$R$5000,"A")</f>
        <v>0</v>
      </c>
      <c r="CC9" s="16">
        <f>SUMIFS('Raw Data'!$N$3:$N$5000,'Raw Data'!$P$3:$P$5000,"W27",'Raw Data'!$R$3:$R$5000,"A")</f>
        <v>0</v>
      </c>
      <c r="CD9" s="17">
        <f>SUMIFS('Raw Data'!$E$3:$E$5000,'Raw Data'!$P$3:$P$5000,"W27",'Raw Data'!$R$3:$R$5000,"A")</f>
        <v>0</v>
      </c>
      <c r="CE9" s="16">
        <f>SUMIFS('Raw Data'!$M$3:$M$5000,'Raw Data'!$P$3:$P$5000,"W28",'Raw Data'!$R$3:$R$5000,"A")</f>
        <v>0</v>
      </c>
      <c r="CF9" s="16">
        <f>SUMIFS('Raw Data'!$N$3:$N$5000,'Raw Data'!$P$3:$P$5000,"W28",'Raw Data'!$R$3:$R$5000,"A")</f>
        <v>0</v>
      </c>
      <c r="CG9" s="17">
        <f>SUMIFS('Raw Data'!$E$3:$E$5000,'Raw Data'!$P$3:$P$5000,"W28",'Raw Data'!$R$3:$R$5000,"A")</f>
        <v>0</v>
      </c>
      <c r="CH9" s="16">
        <f>SUMIFS('Raw Data'!$M$3:$M$5000,'Raw Data'!$P$3:$P$5000,"W29",'Raw Data'!$R$3:$R$5000,"A")</f>
        <v>0</v>
      </c>
      <c r="CI9" s="16">
        <f>SUMIFS('Raw Data'!$N$3:$N$5000,'Raw Data'!$P$3:$P$5000,"W29",'Raw Data'!$R$3:$R$5000,"A")</f>
        <v>0</v>
      </c>
      <c r="CJ9" s="17">
        <f>SUMIFS('Raw Data'!$E$3:$E$5000,'Raw Data'!$P$3:$P$5000,"W29",'Raw Data'!$R$3:$R$5000,"A")</f>
        <v>0</v>
      </c>
      <c r="CK9" s="16">
        <f>SUMIFS('Raw Data'!$M$3:$M$5000,'Raw Data'!$P$3:$P$5000,"W30",'Raw Data'!$R$3:$R$5000,"A")</f>
        <v>0</v>
      </c>
      <c r="CL9" s="16">
        <f>SUMIFS('Raw Data'!$N$3:$N$5000,'Raw Data'!$P$3:$P$5000,"W30",'Raw Data'!$R$3:$R$5000,"A")</f>
        <v>0</v>
      </c>
      <c r="CM9" s="17">
        <f>SUMIFS('Raw Data'!$E$3:$E$5000,'Raw Data'!$P$3:$P$5000,"W30",'Raw Data'!$R$3:$R$5000,"A")</f>
        <v>0</v>
      </c>
      <c r="CN9" s="16">
        <f>SUMIFS('Raw Data'!$M$3:$M$5000,'Raw Data'!$P$3:$P$5000,"W31",'Raw Data'!$R$3:$R$5000,"A")</f>
        <v>0</v>
      </c>
      <c r="CO9" s="16">
        <f>SUMIFS('Raw Data'!$N$3:$N$5000,'Raw Data'!$P$3:$P$5000,"W31",'Raw Data'!$R$3:$R$5000,"A")</f>
        <v>0</v>
      </c>
      <c r="CP9" s="17">
        <f>SUMIFS('Raw Data'!$E$3:$E$5000,'Raw Data'!$P$3:$P$5000,"W31",'Raw Data'!$R$3:$R$5000,"A")</f>
        <v>0</v>
      </c>
      <c r="CQ9" s="16">
        <f>SUMIFS('Raw Data'!$M$3:$M$5000,'Raw Data'!$P$3:$P$5000,"W32",'Raw Data'!$R$3:$R$5000,"A")</f>
        <v>0</v>
      </c>
      <c r="CR9" s="16">
        <f>SUMIFS('Raw Data'!$N$3:$N$5000,'Raw Data'!$P$3:$P$5000,"W32",'Raw Data'!$R$3:$R$5000,"A")</f>
        <v>0</v>
      </c>
      <c r="CS9" s="17">
        <f>SUMIFS('Raw Data'!$E$3:$E$5000,'Raw Data'!$P$3:$P$5000,"W32",'Raw Data'!$R$3:$R$5000,"A")</f>
        <v>0</v>
      </c>
      <c r="CT9" s="16">
        <f>SUMIFS('Raw Data'!$M$3:$M$5000,'Raw Data'!$P$3:$P$5000,"W33",'Raw Data'!$R$3:$R$5000,"A")</f>
        <v>0</v>
      </c>
      <c r="CU9" s="16">
        <f>SUMIFS('Raw Data'!$N$3:$N$5000,'Raw Data'!$P$3:$P$5000,"W33",'Raw Data'!$R$3:$R$5000,"A")</f>
        <v>0</v>
      </c>
      <c r="CV9" s="17">
        <f>SUMIFS('Raw Data'!$E$3:$E$5000,'Raw Data'!$P$3:$P$5000,"W33",'Raw Data'!$R$3:$R$5000,"A")</f>
        <v>0</v>
      </c>
      <c r="CW9" s="16">
        <f>SUMIFS('Raw Data'!$M$3:$M$5000,'Raw Data'!$P$3:$P$5000,"W34",'Raw Data'!$R$3:$R$5000,"A")</f>
        <v>0</v>
      </c>
      <c r="CX9" s="16">
        <f>SUMIFS('Raw Data'!$N$3:$N$5000,'Raw Data'!$P$3:$P$5000,"W34",'Raw Data'!$R$3:$R$5000,"A")</f>
        <v>0</v>
      </c>
      <c r="CY9" s="17">
        <f>SUMIFS('Raw Data'!$E$3:$E$5000,'Raw Data'!$P$3:$P$5000,"W34",'Raw Data'!$R$3:$R$5000,"A")</f>
        <v>0</v>
      </c>
      <c r="CZ9" s="16">
        <f>SUMIFS('Raw Data'!$M$3:$M$5000,'Raw Data'!$P$3:$P$5000,"W35",'Raw Data'!$R$3:$R$5000,"A")</f>
        <v>0</v>
      </c>
      <c r="DA9" s="16">
        <f>SUMIFS('Raw Data'!$N$3:$N$5000,'Raw Data'!$P$3:$P$5000,"W35",'Raw Data'!$R$3:$R$5000,"A")</f>
        <v>0</v>
      </c>
      <c r="DB9" s="17">
        <f>SUMIFS('Raw Data'!$E$3:$E$5000,'Raw Data'!$P$3:$P$5000,"W35",'Raw Data'!$R$3:$R$5000,"A")</f>
        <v>0</v>
      </c>
      <c r="DC9" s="16">
        <f>SUMIFS('Raw Data'!$M$3:$M$5000,'Raw Data'!$P$3:$P$5000,"W36",'Raw Data'!$R$3:$R$5000,"A")</f>
        <v>0</v>
      </c>
      <c r="DD9" s="16">
        <f>SUMIFS('Raw Data'!$N$3:$N$5000,'Raw Data'!$P$3:$P$5000,"W36",'Raw Data'!$R$3:$R$5000,"A")</f>
        <v>0</v>
      </c>
      <c r="DE9" s="17">
        <f>SUMIFS('Raw Data'!$E$3:$E$5000,'Raw Data'!$P$3:$P$5000,"W36",'Raw Data'!$R$3:$R$5000,"A")</f>
        <v>0</v>
      </c>
      <c r="DF9" s="16">
        <f>SUMIFS('Raw Data'!$M$3:$M$5000,'Raw Data'!$P$3:$P$5000,"W37",'Raw Data'!$R$3:$R$5000,"A")</f>
        <v>0</v>
      </c>
      <c r="DG9" s="16">
        <f>SUMIFS('Raw Data'!$N$3:$N$5000,'Raw Data'!$P$3:$P$5000,"W37",'Raw Data'!$R$3:$R$5000,"A")</f>
        <v>0</v>
      </c>
      <c r="DH9" s="17">
        <f>SUMIFS('Raw Data'!$E$3:$E$5000,'Raw Data'!$P$3:$P$5000,"W37",'Raw Data'!$R$3:$R$5000,"A")</f>
        <v>0</v>
      </c>
      <c r="DI9" s="16">
        <f>SUMIFS('Raw Data'!$M$3:$M$5000,'Raw Data'!$P$3:$P$5000,"W38",'Raw Data'!$R$3:$R$5000,"A")</f>
        <v>0</v>
      </c>
      <c r="DJ9" s="16">
        <f>SUMIFS('Raw Data'!$N$3:$N$5000,'Raw Data'!$P$3:$P$5000,"W38",'Raw Data'!$R$3:$R$5000,"A")</f>
        <v>0</v>
      </c>
      <c r="DK9" s="17">
        <f>SUMIFS('Raw Data'!$E$3:$E$5000,'Raw Data'!$P$3:$P$5000,"W38",'Raw Data'!$R$3:$R$5000,"A")</f>
        <v>0</v>
      </c>
      <c r="DL9" s="16">
        <f>SUMIFS('Raw Data'!$M$3:$M$5000,'Raw Data'!$P$3:$P$5000,"W39",'Raw Data'!$R$3:$R$5000,"A")</f>
        <v>0</v>
      </c>
      <c r="DM9" s="16">
        <f>SUMIFS('Raw Data'!$N$3:$N$5000,'Raw Data'!$P$3:$P$5000,"W39",'Raw Data'!$R$3:$R$5000,"A")</f>
        <v>0</v>
      </c>
      <c r="DN9" s="17">
        <f>SUMIFS('Raw Data'!$E$3:$E$5000,'Raw Data'!$P$3:$P$5000,"W39",'Raw Data'!$R$3:$R$5000,"A")</f>
        <v>0</v>
      </c>
      <c r="DO9" s="16">
        <f>SUMIFS('Raw Data'!$M$3:$M$5000,'Raw Data'!$P$3:$P$5000,"W40",'Raw Data'!$R$3:$R$5000,"A")</f>
        <v>0</v>
      </c>
      <c r="DP9" s="16">
        <f>SUMIFS('Raw Data'!$N$3:$N$5000,'Raw Data'!$P$3:$P$5000,"W40",'Raw Data'!$R$3:$R$5000,"A")</f>
        <v>0</v>
      </c>
      <c r="DQ9" s="17">
        <f>SUMIFS('Raw Data'!$E$3:$E$5000,'Raw Data'!$P$3:$P$5000,"W40",'Raw Data'!$R$3:$R$5000,"A")</f>
        <v>0</v>
      </c>
      <c r="DR9" s="16">
        <f>SUMIFS('Raw Data'!$M$3:$M$5000,'Raw Data'!$P$3:$P$5000,"W41",'Raw Data'!$R$3:$R$5000,"A")</f>
        <v>0</v>
      </c>
      <c r="DS9" s="16">
        <f>SUMIFS('Raw Data'!$N$3:$N$5000,'Raw Data'!$P$3:$P$5000,"W41",'Raw Data'!$R$3:$R$5000,"A")</f>
        <v>0</v>
      </c>
      <c r="DT9" s="17">
        <f>SUMIFS('Raw Data'!$E$3:$E$5000,'Raw Data'!$P$3:$P$5000,"W41",'Raw Data'!$R$3:$R$5000,"A")</f>
        <v>0</v>
      </c>
      <c r="DU9" s="16">
        <f>SUMIFS('Raw Data'!$M$3:$M$5000,'Raw Data'!$P$3:$P$5000,"W42",'Raw Data'!$R$3:$R$5000,"A")</f>
        <v>0</v>
      </c>
      <c r="DV9" s="16">
        <f>SUMIFS('Raw Data'!$N$3:$N$5000,'Raw Data'!$P$3:$P$5000,"W42",'Raw Data'!$R$3:$R$5000,"A")</f>
        <v>0</v>
      </c>
      <c r="DW9" s="17">
        <f>SUMIFS('Raw Data'!$E$3:$E$5000,'Raw Data'!$P$3:$P$5000,"W42",'Raw Data'!$R$3:$R$5000,"A")</f>
        <v>0</v>
      </c>
      <c r="DX9" s="16">
        <f>SUMIFS('Raw Data'!$M$3:$M$5000,'Raw Data'!$P$3:$P$5000,"W43",'Raw Data'!$R$3:$R$5000,"A")</f>
        <v>0</v>
      </c>
      <c r="DY9" s="16">
        <f>SUMIFS('Raw Data'!$N$3:$N$5000,'Raw Data'!$P$3:$P$5000,"W43",'Raw Data'!$R$3:$R$5000,"A")</f>
        <v>0</v>
      </c>
      <c r="DZ9" s="17">
        <f>SUMIFS('Raw Data'!$E$3:$E$5000,'Raw Data'!$P$3:$P$5000,"W43",'Raw Data'!$R$3:$R$5000,"A")</f>
        <v>0</v>
      </c>
      <c r="EA9" s="16">
        <f>SUMIFS('Raw Data'!$M$3:$M$5000,'Raw Data'!$P$3:$P$5000,"W44",'Raw Data'!$R$3:$R$5000,"A")</f>
        <v>0</v>
      </c>
      <c r="EB9" s="16">
        <f>SUMIFS('Raw Data'!$N$3:$N$5000,'Raw Data'!$P$3:$P$5000,"W44",'Raw Data'!$R$3:$R$5000,"A")</f>
        <v>0</v>
      </c>
      <c r="EC9" s="17">
        <f>SUMIFS('Raw Data'!$E$3:$E$5000,'Raw Data'!$P$3:$P$5000,"W44",'Raw Data'!$R$3:$R$5000,"A")</f>
        <v>0</v>
      </c>
      <c r="ED9" s="16">
        <f>SUMIFS('Raw Data'!$M$3:$M$5000,'Raw Data'!$P$3:$P$5000,"W45",'Raw Data'!$R$3:$R$5000,"A")</f>
        <v>0</v>
      </c>
      <c r="EE9" s="16">
        <f>SUMIFS('Raw Data'!$N$3:$N$5000,'Raw Data'!$P$3:$P$5000,"W45",'Raw Data'!$R$3:$R$5000,"A")</f>
        <v>0</v>
      </c>
      <c r="EF9" s="17">
        <f>SUMIFS('Raw Data'!$E$3:$E$5000,'Raw Data'!$P$3:$P$5000,"W45",'Raw Data'!$R$3:$R$5000,"A")</f>
        <v>0</v>
      </c>
      <c r="EG9" s="16">
        <f>SUMIFS('Raw Data'!$M$3:$M$5000,'Raw Data'!$P$3:$P$5000,"W46",'Raw Data'!$R$3:$R$5000,"A")</f>
        <v>0</v>
      </c>
      <c r="EH9" s="16">
        <f>SUMIFS('Raw Data'!$N$3:$N$5000,'Raw Data'!$P$3:$P$5000,"W46",'Raw Data'!$R$3:$R$5000,"A")</f>
        <v>0</v>
      </c>
      <c r="EI9" s="17">
        <f>SUMIFS('Raw Data'!$E$3:$E$5000,'Raw Data'!$P$3:$P$5000,"W46",'Raw Data'!$R$3:$R$5000,"A")</f>
        <v>0</v>
      </c>
      <c r="EJ9" s="16">
        <f>SUMIFS('Raw Data'!$M$3:$M$5000,'Raw Data'!$P$3:$P$5000,"W47",'Raw Data'!$R$3:$R$5000,"A")</f>
        <v>0</v>
      </c>
      <c r="EK9" s="16">
        <f>SUMIFS('Raw Data'!$N$3:$N$5000,'Raw Data'!$P$3:$P$5000,"W47",'Raw Data'!$R$3:$R$5000,"A")</f>
        <v>0</v>
      </c>
      <c r="EL9" s="17">
        <f>SUMIFS('Raw Data'!$E$3:$E$5000,'Raw Data'!$P$3:$P$5000,"W47",'Raw Data'!$R$3:$R$5000,"A")</f>
        <v>0</v>
      </c>
      <c r="EM9" s="16">
        <f>SUMIFS('Raw Data'!$M$3:$M$5000,'Raw Data'!$P$3:$P$5000,"W48",'Raw Data'!$R$3:$R$5000,"A")</f>
        <v>0</v>
      </c>
      <c r="EN9" s="16">
        <f>SUMIFS('Raw Data'!$N$3:$N$5000,'Raw Data'!$P$3:$P$5000,"W48",'Raw Data'!$R$3:$R$5000,"A")</f>
        <v>0</v>
      </c>
      <c r="EO9" s="17">
        <f>SUMIFS('Raw Data'!$E$3:$E$5000,'Raw Data'!$P$3:$P$5000,"W48",'Raw Data'!$R$3:$R$5000,"A")</f>
        <v>0</v>
      </c>
      <c r="EP9" s="16">
        <f>SUMIFS('Raw Data'!$M$3:$M$5000,'Raw Data'!$P$3:$P$5000,"W49",'Raw Data'!$R$3:$R$5000,"A")</f>
        <v>0</v>
      </c>
      <c r="EQ9" s="16">
        <f>SUMIFS('Raw Data'!$N$3:$N$5000,'Raw Data'!$P$3:$P$5000,"W49",'Raw Data'!$R$3:$R$5000,"A")</f>
        <v>0</v>
      </c>
      <c r="ER9" s="17">
        <f>SUMIFS('Raw Data'!$E$3:$E$5000,'Raw Data'!$P$3:$P$5000,"W49",'Raw Data'!$R$3:$R$5000,"A")</f>
        <v>0</v>
      </c>
      <c r="ES9" s="16">
        <f>SUMIFS('Raw Data'!$M$3:$M$5000,'Raw Data'!$P$3:$P$5000,"W50",'Raw Data'!$R$3:$R$5000,"A")</f>
        <v>0</v>
      </c>
      <c r="ET9" s="16">
        <f>SUMIFS('Raw Data'!$N$3:$N$5000,'Raw Data'!$P$3:$P$5000,"W50",'Raw Data'!$R$3:$R$5000,"A")</f>
        <v>0</v>
      </c>
      <c r="EU9" s="17">
        <f>SUMIFS('Raw Data'!$E$3:$E$5000,'Raw Data'!$P$3:$P$5000,"W50",'Raw Data'!$R$3:$R$5000,"A")</f>
        <v>0</v>
      </c>
      <c r="EV9" s="16">
        <f>SUMIFS('Raw Data'!$M$3:$M$5000,'Raw Data'!$P$3:$P$5000,"W51",'Raw Data'!$R$3:$R$5000,"A")</f>
        <v>0</v>
      </c>
      <c r="EW9" s="16">
        <f>SUMIFS('Raw Data'!$N$3:$N$5000,'Raw Data'!$P$3:$P$5000,"W51",'Raw Data'!$R$3:$R$5000,"A")</f>
        <v>0</v>
      </c>
      <c r="EX9" s="17">
        <f>SUMIFS('Raw Data'!$E$3:$E$5000,'Raw Data'!$P$3:$P$5000,"W51",'Raw Data'!$R$3:$R$5000,"A")</f>
        <v>0</v>
      </c>
      <c r="EY9" s="16">
        <f>SUMIFS('Raw Data'!$M$3:$M$5000,'Raw Data'!$P$3:$P$5000,"W52",'Raw Data'!$R$3:$R$5000,"A")</f>
        <v>0</v>
      </c>
      <c r="EZ9" s="16">
        <f>SUMIFS('Raw Data'!$N$3:$N$5000,'Raw Data'!$P$3:$P$5000,"W52",'Raw Data'!$R$3:$R$5000,"A")</f>
        <v>0</v>
      </c>
      <c r="FA9" s="17">
        <f>SUMIFS('Raw Data'!$E$3:$E$5000,'Raw Data'!$P$3:$P$5000,"W52",'Raw Data'!$R$3:$R$5000,"A")</f>
        <v>0</v>
      </c>
      <c r="FB9" s="6">
        <f t="shared" ref="FB9:FD9" si="3">B9+E9+H9+K9+N9+Q9+T9+W9+Z9+AC9+AF9+AI9+AL9+AO9+AR9+AU9+AX9+BA9+BD9+BG9+BJ9+BM9+BP9+BS9+BV9+BY9+CB9+CE9+CH9+CK9+CN9+CQ9+CT9+CW9+CZ9+DC9+DF9+DI9+DL9+DO9+DR9+DU9+DX9+EA9+ED9+EG9+EJ9+EM9+EP9+ES9+EV9+EY9</f>
        <v>830.7</v>
      </c>
      <c r="FC9" s="6">
        <f t="shared" si="3"/>
        <v>1973.16</v>
      </c>
      <c r="FD9" s="7">
        <f t="shared" si="3"/>
        <v>45</v>
      </c>
    </row>
    <row r="10" spans="1:160" ht="19.5" customHeight="1" x14ac:dyDescent="0.3">
      <c r="A10" s="15" t="s">
        <v>63</v>
      </c>
      <c r="B10" s="16">
        <f>SUMIFS('Raw Data'!$M$3:$M$5000,'Raw Data'!$P$3:$P$5000,"W1",'Raw Data'!$R$3:$R$5000,"B")+SUMIFS('Raw Data'!$M$3:$M$5000,'Raw Data'!$P$3:$P$5000,"W1",'Raw Data'!$R$3:$R$5000,"C")+SUMIFS('Raw Data'!$M$3:$M$5000,'Raw Data'!$P$3:$P$5000,"W1",'Raw Data'!$R$3:$R$5000,"D")</f>
        <v>0</v>
      </c>
      <c r="C10" s="16">
        <f>SUMIFS('Raw Data'!$N$3:$N$5000,'Raw Data'!$P$3:$P$5000,"W1",'Raw Data'!$R$3:$R$5000,"B")+SUMIFS('Raw Data'!$N$3:$N$5000,'Raw Data'!$P$3:$P$5000,"W1",'Raw Data'!$R$3:$R$5000,"C")+SUMIFS('Raw Data'!$N$3:$N$5000,'Raw Data'!$P$3:$P$5000,"W1",'Raw Data'!$R$3:$R$5000,"D")</f>
        <v>0</v>
      </c>
      <c r="D10" s="17">
        <f>SUMIFS('Raw Data'!$E$3:$E$5000,'Raw Data'!$P$3:$P$5000,"W1",'Raw Data'!$R$3:$R$5000,"B")+SUMIFS('Raw Data'!$E$3:$E$5000,'Raw Data'!$P$3:$P$5000,"W1",'Raw Data'!$R$3:$R$5000,"C")+SUMIFS('Raw Data'!$E$3:$E$5000,'Raw Data'!$P$3:$P$5000,"W1",'Raw Data'!$R$3:$R$5000,"D")</f>
        <v>0</v>
      </c>
      <c r="E10" s="16">
        <f>SUMIFS('Raw Data'!$M$3:$M$5000,'Raw Data'!$P$3:$P$5000,"W2",'Raw Data'!$R$3:$R$5000,"B")+SUMIFS('Raw Data'!$M$3:$M$5000,'Raw Data'!$P$3:$P$5000,"W2",'Raw Data'!$R$3:$R$5000,"C")+SUMIFS('Raw Data'!$M$3:$M$5000,'Raw Data'!$P$3:$P$5000,"W2",'Raw Data'!$R$3:$R$5000,"D")</f>
        <v>0</v>
      </c>
      <c r="F10" s="16">
        <f>SUMIFS('Raw Data'!$N$3:$N$5000,'Raw Data'!$P$3:$P$5000,"W2",'Raw Data'!$R$3:$R$5000,"B")+SUMIFS('Raw Data'!$N$3:$N$5000,'Raw Data'!$P$3:$P$5000,"W2",'Raw Data'!$R$3:$R$5000,"C")+SUMIFS('Raw Data'!$N$3:$N$5000,'Raw Data'!$P$3:$P$5000,"W2",'Raw Data'!$R$3:$R$5000,"D")</f>
        <v>0</v>
      </c>
      <c r="G10" s="17">
        <f>SUMIFS('Raw Data'!$E$3:$E$5000,'Raw Data'!$P$3:$P$5000,"W2",'Raw Data'!$R$3:$R$5000,"B")+SUMIFS('Raw Data'!$E$3:$E$5000,'Raw Data'!$P$3:$P$5000,"W2",'Raw Data'!$R$3:$R$5000,"C")+SUMIFS('Raw Data'!$E$3:$E$5000,'Raw Data'!$P$3:$P$5000,"W2",'Raw Data'!$R$3:$R$5000,"D")</f>
        <v>0</v>
      </c>
      <c r="H10" s="16">
        <f>SUMIFS('Raw Data'!$M$3:$M$5000,'Raw Data'!$P$3:$P$5000,"W3",'Raw Data'!$R$3:$R$5000,"B")+SUMIFS('Raw Data'!$M$3:$M$5000,'Raw Data'!$P$3:$P$5000,"W3",'Raw Data'!$R$3:$R$5000,"C")+SUMIFS('Raw Data'!$M$3:$M$5000,'Raw Data'!$P$3:$P$5000,"W3",'Raw Data'!$R$3:$R$5000,"D")</f>
        <v>0</v>
      </c>
      <c r="I10" s="16">
        <f>SUMIFS('Raw Data'!$N$3:$N$5000,'Raw Data'!$P$3:$P$5000,"W3",'Raw Data'!$R$3:$R$5000,"B")+SUMIFS('Raw Data'!$N$3:$N$5000,'Raw Data'!$P$3:$P$5000,"W3",'Raw Data'!$R$3:$R$5000,"C")+SUMIFS('Raw Data'!$N$3:$N$5000,'Raw Data'!$P$3:$P$5000,"W3",'Raw Data'!$R$3:$R$5000,"D")</f>
        <v>0</v>
      </c>
      <c r="J10" s="17">
        <f>SUMIFS('Raw Data'!$E$3:$E$5000,'Raw Data'!$P$3:$P$5000,"W3",'Raw Data'!$R$3:$R$5000,"B")+SUMIFS('Raw Data'!$E$3:$E$5000,'Raw Data'!$P$3:$P$5000,"W3",'Raw Data'!$R$3:$R$5000,"C")+SUMIFS('Raw Data'!$E$3:$E$5000,'Raw Data'!$P$3:$P$5000,"W3",'Raw Data'!$R$3:$R$5000,"D")</f>
        <v>0</v>
      </c>
      <c r="K10" s="16">
        <f>SUMIFS('Raw Data'!$M$3:$M$5000,'Raw Data'!$P$3:$P$5000,"W4",'Raw Data'!$R$3:$R$5000,"B")+SUMIFS('Raw Data'!$M$3:$M$5000,'Raw Data'!$P$3:$P$5000,"W4",'Raw Data'!$R$3:$R$5000,"C")+SUMIFS('Raw Data'!$M$3:$M$5000,'Raw Data'!$P$3:$P$5000,"W4",'Raw Data'!$R$3:$R$5000,"D")</f>
        <v>0</v>
      </c>
      <c r="L10" s="16">
        <f>SUMIFS('Raw Data'!$N$3:$N$5000,'Raw Data'!$P$3:$P$5000,"W4",'Raw Data'!$R$3:$R$5000,"B")+SUMIFS('Raw Data'!$N$3:$N$5000,'Raw Data'!$P$3:$P$5000,"W4",'Raw Data'!$R$3:$R$5000,"C")+SUMIFS('Raw Data'!$N$3:$N$5000,'Raw Data'!$P$3:$P$5000,"W4",'Raw Data'!$R$3:$R$5000,"D")</f>
        <v>0</v>
      </c>
      <c r="M10" s="17">
        <f>SUMIFS('Raw Data'!$E$3:$E$5000,'Raw Data'!$P$3:$P$5000,"W4",'Raw Data'!$R$3:$R$5000,"B")+SUMIFS('Raw Data'!$E$3:$E$5000,'Raw Data'!$P$3:$P$5000,"W4",'Raw Data'!$R$3:$R$5000,"C")+SUMIFS('Raw Data'!$E$3:$E$5000,'Raw Data'!$P$3:$P$5000,"W4",'Raw Data'!$R$3:$R$5000,"D")</f>
        <v>0</v>
      </c>
      <c r="N10" s="16">
        <f>SUMIFS('Raw Data'!$M$3:$M$5000,'Raw Data'!$P$3:$P$5000,"W5",'Raw Data'!$R$3:$R$5000,"B")+SUMIFS('Raw Data'!$M$3:$M$5000,'Raw Data'!$P$3:$P$5000,"W5",'Raw Data'!$R$3:$R$5000,"C")+SUMIFS('Raw Data'!$M$3:$M$5000,'Raw Data'!$P$3:$P$5000,"W5",'Raw Data'!$R$3:$R$5000,"D")</f>
        <v>0</v>
      </c>
      <c r="O10" s="16">
        <f>SUMIFS('Raw Data'!$N$3:$N$5000,'Raw Data'!$P$3:$P$5000,"W5",'Raw Data'!$R$3:$R$5000,"B")+SUMIFS('Raw Data'!$N$3:$N$5000,'Raw Data'!$P$3:$P$5000,"W5",'Raw Data'!$R$3:$R$5000,"C")+SUMIFS('Raw Data'!$N$3:$N$5000,'Raw Data'!$P$3:$P$5000,"W5",'Raw Data'!$R$3:$R$5000,"D")</f>
        <v>0</v>
      </c>
      <c r="P10" s="17">
        <f>SUMIFS('Raw Data'!$E$3:$E$5000,'Raw Data'!$P$3:$P$5000,"W5",'Raw Data'!$R$3:$R$5000,"B")+SUMIFS('Raw Data'!$E$3:$E$5000,'Raw Data'!$P$3:$P$5000,"W5",'Raw Data'!$R$3:$R$5000,"C")+SUMIFS('Raw Data'!$E$3:$E$5000,'Raw Data'!$P$3:$P$5000,"W5",'Raw Data'!$R$3:$R$5000,"D")</f>
        <v>0</v>
      </c>
      <c r="Q10" s="16">
        <f>SUMIFS('Raw Data'!$M$3:$M$5000,'Raw Data'!$P$3:$P$5000,"W6",'Raw Data'!$R$3:$R$5000,"B")+SUMIFS('Raw Data'!$M$3:$M$5000,'Raw Data'!$P$3:$P$5000,"W6",'Raw Data'!$R$3:$R$5000,"C")+SUMIFS('Raw Data'!$M$3:$M$5000,'Raw Data'!$P$3:$P$5000,"W6",'Raw Data'!$R$3:$R$5000,"D")</f>
        <v>0</v>
      </c>
      <c r="R10" s="16">
        <f>SUMIFS('Raw Data'!$N$3:$N$5000,'Raw Data'!$P$3:$P$5000,"W6",'Raw Data'!$R$3:$R$5000,"B")+SUMIFS('Raw Data'!$N$3:$N$5000,'Raw Data'!$P$3:$P$5000,"W6",'Raw Data'!$R$3:$R$5000,"C")+SUMIFS('Raw Data'!$N$3:$N$5000,'Raw Data'!$P$3:$P$5000,"W6",'Raw Data'!$R$3:$R$5000,"D")</f>
        <v>0</v>
      </c>
      <c r="S10" s="17">
        <f>SUMIFS('Raw Data'!$E$3:$E$5000,'Raw Data'!$P$3:$P$5000,"W6",'Raw Data'!$R$3:$R$5000,"B")+SUMIFS('Raw Data'!$E$3:$E$5000,'Raw Data'!$P$3:$P$5000,"W6",'Raw Data'!$R$3:$R$5000,"C")+SUMIFS('Raw Data'!$E$3:$E$5000,'Raw Data'!$P$3:$P$5000,"W6",'Raw Data'!$R$3:$R$5000,"D")</f>
        <v>0</v>
      </c>
      <c r="T10" s="16">
        <f>SUMIFS('Raw Data'!$M$3:$M$5000,'Raw Data'!$P$3:$P$5000,"W7",'Raw Data'!$R$3:$R$5000,"B")+SUMIFS('Raw Data'!$M$3:$M$5000,'Raw Data'!$P$3:$P$5000,"W7",'Raw Data'!$R$3:$R$5000,"C")+SUMIFS('Raw Data'!$M$3:$M$5000,'Raw Data'!$P$3:$P$5000,"W7",'Raw Data'!$R$3:$R$5000,"D")</f>
        <v>0</v>
      </c>
      <c r="U10" s="16">
        <f>SUMIFS('Raw Data'!$N$3:$N$5000,'Raw Data'!$P$3:$P$5000,"W7",'Raw Data'!$R$3:$R$5000,"B")+SUMIFS('Raw Data'!$N$3:$N$5000,'Raw Data'!$P$3:$P$5000,"W7",'Raw Data'!$R$3:$R$5000,"C")+SUMIFS('Raw Data'!$N$3:$N$5000,'Raw Data'!$P$3:$P$5000,"W7",'Raw Data'!$R$3:$R$5000,"D")</f>
        <v>0</v>
      </c>
      <c r="V10" s="17">
        <f>SUMIFS('Raw Data'!$E$3:$E$5000,'Raw Data'!$P$3:$P$5000,"W7",'Raw Data'!$R$3:$R$5000,"B")+SUMIFS('Raw Data'!$E$3:$E$5000,'Raw Data'!$P$3:$P$5000,"W7",'Raw Data'!$R$3:$R$5000,"C")+SUMIFS('Raw Data'!$E$3:$E$5000,'Raw Data'!$P$3:$P$5000,"W7",'Raw Data'!$R$3:$R$5000,"D")</f>
        <v>0</v>
      </c>
      <c r="W10" s="16">
        <f>SUMIFS('Raw Data'!$M$3:$M$5000,'Raw Data'!$P$3:$P$5000,"W8",'Raw Data'!$R$3:$R$5000,"B")+SUMIFS('Raw Data'!$M$3:$M$5000,'Raw Data'!$P$3:$P$5000,"W8",'Raw Data'!$R$3:$R$5000,"C")+SUMIFS('Raw Data'!$M$3:$M$5000,'Raw Data'!$P$3:$P$5000,"W8",'Raw Data'!$R$3:$R$5000,"D")</f>
        <v>0</v>
      </c>
      <c r="X10" s="16">
        <f>SUMIFS('Raw Data'!$N$3:$N$5000,'Raw Data'!$P$3:$P$5000,"W8",'Raw Data'!$R$3:$R$5000,"B")+SUMIFS('Raw Data'!$N$3:$N$5000,'Raw Data'!$P$3:$P$5000,"W8",'Raw Data'!$R$3:$R$5000,"C")+SUMIFS('Raw Data'!$N$3:$N$5000,'Raw Data'!$P$3:$P$5000,"W8",'Raw Data'!$R$3:$R$5000,"D")</f>
        <v>0</v>
      </c>
      <c r="Y10" s="17">
        <f>SUMIFS('Raw Data'!$E$3:$E$5000,'Raw Data'!$P$3:$P$5000,"W8",'Raw Data'!$R$3:$R$5000,"B")+SUMIFS('Raw Data'!$E$3:$E$5000,'Raw Data'!$P$3:$P$5000,"W8",'Raw Data'!$R$3:$R$5000,"C")+SUMIFS('Raw Data'!$E$3:$E$5000,'Raw Data'!$P$3:$P$5000,"W8",'Raw Data'!$R$3:$R$5000,"D")</f>
        <v>0</v>
      </c>
      <c r="Z10" s="16">
        <f>SUMIFS('Raw Data'!$M$3:$M$5000,'Raw Data'!$P$3:$P$5000,"W9",'Raw Data'!$R$3:$R$5000,"B")+SUMIFS('Raw Data'!$M$3:$M$5000,'Raw Data'!$P$3:$P$5000,"W9",'Raw Data'!$R$3:$R$5000,"C")+SUMIFS('Raw Data'!$M$3:$M$5000,'Raw Data'!$P$3:$P$5000,"W9",'Raw Data'!$R$3:$R$5000,"D")</f>
        <v>0</v>
      </c>
      <c r="AA10" s="16">
        <f>SUMIFS('Raw Data'!$N$3:$N$5000,'Raw Data'!$P$3:$P$5000,"W9",'Raw Data'!$R$3:$R$5000,"B")+SUMIFS('Raw Data'!$N$3:$N$5000,'Raw Data'!$P$3:$P$5000,"W9",'Raw Data'!$R$3:$R$5000,"C")+SUMIFS('Raw Data'!$N$3:$N$5000,'Raw Data'!$P$3:$P$5000,"W9",'Raw Data'!$R$3:$R$5000,"D")</f>
        <v>0</v>
      </c>
      <c r="AB10" s="17">
        <f>SUMIFS('Raw Data'!$E$3:$E$5000,'Raw Data'!$P$3:$P$5000,"W9",'Raw Data'!$R$3:$R$5000,"B")+SUMIFS('Raw Data'!$E$3:$E$5000,'Raw Data'!$P$3:$P$5000,"W9",'Raw Data'!$R$3:$R$5000,"C")+SUMIFS('Raw Data'!$E$3:$E$5000,'Raw Data'!$P$3:$P$5000,"W9",'Raw Data'!$R$3:$R$5000,"D")</f>
        <v>0</v>
      </c>
      <c r="AC10" s="16">
        <f>SUMIFS('Raw Data'!$M$3:$M$5000,'Raw Data'!$P$3:$P$5000,"W10",'Raw Data'!$R$3:$R$5000,"B")+SUMIFS('Raw Data'!$M$3:$M$5000,'Raw Data'!$P$3:$P$5000,"W10",'Raw Data'!$R$3:$R$5000,"C")+SUMIFS('Raw Data'!$M$3:$M$5000,'Raw Data'!$P$3:$P$5000,"W10",'Raw Data'!$R$3:$R$5000,"D")</f>
        <v>0</v>
      </c>
      <c r="AD10" s="16">
        <f>SUMIFS('Raw Data'!$N$3:$N$5000,'Raw Data'!$P$3:$P$5000,"W10",'Raw Data'!$R$3:$R$5000,"B")+SUMIFS('Raw Data'!$N$3:$N$5000,'Raw Data'!$P$3:$P$5000,"W10",'Raw Data'!$R$3:$R$5000,"C")+SUMIFS('Raw Data'!$N$3:$N$5000,'Raw Data'!$P$3:$P$5000,"W10",'Raw Data'!$R$3:$R$5000,"D")</f>
        <v>0</v>
      </c>
      <c r="AE10" s="17">
        <f>SUMIFS('Raw Data'!$E$3:$E$5000,'Raw Data'!$P$3:$P$5000,"W10",'Raw Data'!$R$3:$R$5000,"B")+SUMIFS('Raw Data'!$E$3:$E$5000,'Raw Data'!$P$3:$P$5000,"W10",'Raw Data'!$R$3:$R$5000,"C")+SUMIFS('Raw Data'!$E$3:$E$5000,'Raw Data'!$P$3:$P$5000,"W10",'Raw Data'!$R$3:$R$5000,"D")</f>
        <v>0</v>
      </c>
      <c r="AF10" s="16">
        <f>SUMIFS('Raw Data'!$M$3:$M$5000,'Raw Data'!$P$3:$P$5000,"W11",'Raw Data'!$R$3:$R$5000,"B")+SUMIFS('Raw Data'!$M$3:$M$5000,'Raw Data'!$P$3:$P$5000,"W11",'Raw Data'!$R$3:$R$5000,"C")+SUMIFS('Raw Data'!$M$3:$M$5000,'Raw Data'!$P$3:$P$5000,"W11",'Raw Data'!$R$3:$R$5000,"D")</f>
        <v>0</v>
      </c>
      <c r="AG10" s="16">
        <f>SUMIFS('Raw Data'!$N$3:$N$5000,'Raw Data'!$P$3:$P$5000,"W11",'Raw Data'!$R$3:$R$5000,"B")+SUMIFS('Raw Data'!$N$3:$N$5000,'Raw Data'!$P$3:$P$5000,"W11",'Raw Data'!$R$3:$R$5000,"C")+SUMIFS('Raw Data'!$N$3:$N$5000,'Raw Data'!$P$3:$P$5000,"W11",'Raw Data'!$R$3:$R$5000,"D")</f>
        <v>0</v>
      </c>
      <c r="AH10" s="17">
        <f>SUMIFS('Raw Data'!$E$3:$E$5000,'Raw Data'!$P$3:$P$5000,"W11",'Raw Data'!$R$3:$R$5000,"B")+SUMIFS('Raw Data'!$E$3:$E$5000,'Raw Data'!$P$3:$P$5000,"W11",'Raw Data'!$R$3:$R$5000,"C")+SUMIFS('Raw Data'!$E$3:$E$5000,'Raw Data'!$P$3:$P$5000,"W11",'Raw Data'!$R$3:$R$5000,"D")</f>
        <v>0</v>
      </c>
      <c r="AI10" s="16">
        <f>SUMIFS('Raw Data'!$M$3:$M$5000,'Raw Data'!$P$3:$P$5000,"W12",'Raw Data'!$R$3:$R$5000,"B")+SUMIFS('Raw Data'!$M$3:$M$5000,'Raw Data'!$P$3:$P$5000,"W12",'Raw Data'!$R$3:$R$5000,"C")+SUMIFS('Raw Data'!$M$3:$M$5000,'Raw Data'!$P$3:$P$5000,"W12",'Raw Data'!$R$3:$R$5000,"D")</f>
        <v>0</v>
      </c>
      <c r="AJ10" s="16">
        <f>SUMIFS('Raw Data'!$N$3:$N$5000,'Raw Data'!$P$3:$P$5000,"W12",'Raw Data'!$R$3:$R$5000,"B")+SUMIFS('Raw Data'!$N$3:$N$5000,'Raw Data'!$P$3:$P$5000,"W12",'Raw Data'!$R$3:$R$5000,"C")+SUMIFS('Raw Data'!$N$3:$N$5000,'Raw Data'!$P$3:$P$5000,"W12",'Raw Data'!$R$3:$R$5000,"D")</f>
        <v>0</v>
      </c>
      <c r="AK10" s="17">
        <f>SUMIFS('Raw Data'!$E$3:$E$5000,'Raw Data'!$P$3:$P$5000,"W12",'Raw Data'!$R$3:$R$5000,"B")+SUMIFS('Raw Data'!$E$3:$E$5000,'Raw Data'!$P$3:$P$5000,"W12",'Raw Data'!$R$3:$R$5000,"C")+SUMIFS('Raw Data'!$E$3:$E$5000,'Raw Data'!$P$3:$P$5000,"W12",'Raw Data'!$R$3:$R$5000,"D")</f>
        <v>0</v>
      </c>
      <c r="AL10" s="16">
        <f>SUMIFS('Raw Data'!$M$3:$M$5000,'Raw Data'!$P$3:$P$5000,"W13",'Raw Data'!$R$3:$R$5000,"B")+SUMIFS('Raw Data'!$M$3:$M$5000,'Raw Data'!$P$3:$P$5000,"W13",'Raw Data'!$R$3:$R$5000,"C")+SUMIFS('Raw Data'!$M$3:$M$5000,'Raw Data'!$P$3:$P$5000,"W13",'Raw Data'!$R$3:$R$5000,"D")</f>
        <v>0</v>
      </c>
      <c r="AM10" s="16">
        <f>SUMIFS('Raw Data'!$N$3:$N$5000,'Raw Data'!$P$3:$P$5000,"W13",'Raw Data'!$R$3:$R$5000,"B")+SUMIFS('Raw Data'!$N$3:$N$5000,'Raw Data'!$P$3:$P$5000,"W13",'Raw Data'!$R$3:$R$5000,"C")+SUMIFS('Raw Data'!$N$3:$N$5000,'Raw Data'!$P$3:$P$5000,"W13",'Raw Data'!$R$3:$R$5000,"D")</f>
        <v>0</v>
      </c>
      <c r="AN10" s="17">
        <f>SUMIFS('Raw Data'!$E$3:$E$5000,'Raw Data'!$P$3:$P$5000,"W13",'Raw Data'!$R$3:$R$5000,"B")+SUMIFS('Raw Data'!$E$3:$E$5000,'Raw Data'!$P$3:$P$5000,"W13",'Raw Data'!$R$3:$R$5000,"C")+SUMIFS('Raw Data'!$E$3:$E$5000,'Raw Data'!$P$3:$P$5000,"W13",'Raw Data'!$R$3:$R$5000,"D")</f>
        <v>0</v>
      </c>
      <c r="AO10" s="16">
        <f>SUMIFS('Raw Data'!$M$3:$M$5000,'Raw Data'!$P$3:$P$5000,"W14",'Raw Data'!$R$3:$R$5000,"B")+SUMIFS('Raw Data'!$M$3:$M$5000,'Raw Data'!$P$3:$P$5000,"W14",'Raw Data'!$R$3:$R$5000,"C")+SUMIFS('Raw Data'!$M$3:$M$5000,'Raw Data'!$P$3:$P$5000,"W14",'Raw Data'!$R$3:$R$5000,"D")</f>
        <v>0</v>
      </c>
      <c r="AP10" s="16">
        <f>SUMIFS('Raw Data'!$N$3:$N$5000,'Raw Data'!$P$3:$P$5000,"W14",'Raw Data'!$R$3:$R$5000,"B")+SUMIFS('Raw Data'!$N$3:$N$5000,'Raw Data'!$P$3:$P$5000,"W14",'Raw Data'!$R$3:$R$5000,"C")+SUMIFS('Raw Data'!$N$3:$N$5000,'Raw Data'!$P$3:$P$5000,"W14",'Raw Data'!$R$3:$R$5000,"D")</f>
        <v>0</v>
      </c>
      <c r="AQ10" s="17">
        <f>SUMIFS('Raw Data'!$E$3:$E$5000,'Raw Data'!$P$3:$P$5000,"W14",'Raw Data'!$R$3:$R$5000,"B")+SUMIFS('Raw Data'!$E$3:$E$5000,'Raw Data'!$P$3:$P$5000,"W14",'Raw Data'!$R$3:$R$5000,"C")+SUMIFS('Raw Data'!$E$3:$E$5000,'Raw Data'!$P$3:$P$5000,"W14",'Raw Data'!$R$3:$R$5000,"D")</f>
        <v>0</v>
      </c>
      <c r="AR10" s="16">
        <f>SUMIFS('Raw Data'!$M$3:$M$5000,'Raw Data'!$P$3:$P$5000,"W15",'Raw Data'!$R$3:$R$5000,"B")+SUMIFS('Raw Data'!$M$3:$M$5000,'Raw Data'!$P$3:$P$5000,"W15",'Raw Data'!$R$3:$R$5000,"C")+SUMIFS('Raw Data'!$M$3:$M$5000,'Raw Data'!$P$3:$P$5000,"W15",'Raw Data'!$R$3:$R$5000,"D")</f>
        <v>0</v>
      </c>
      <c r="AS10" s="16">
        <f>SUMIFS('Raw Data'!$N$3:$N$5000,'Raw Data'!$P$3:$P$5000,"W15",'Raw Data'!$R$3:$R$5000,"B")+SUMIFS('Raw Data'!$N$3:$N$5000,'Raw Data'!$P$3:$P$5000,"W15",'Raw Data'!$R$3:$R$5000,"C")+SUMIFS('Raw Data'!$N$3:$N$5000,'Raw Data'!$P$3:$P$5000,"W15",'Raw Data'!$R$3:$R$5000,"D")</f>
        <v>0</v>
      </c>
      <c r="AT10" s="17">
        <f>SUMIFS('Raw Data'!$E$3:$E$5000,'Raw Data'!$P$3:$P$5000,"W15",'Raw Data'!$R$3:$R$5000,"B")+SUMIFS('Raw Data'!$E$3:$E$5000,'Raw Data'!$P$3:$P$5000,"W15",'Raw Data'!$R$3:$R$5000,"C")+SUMIFS('Raw Data'!$E$3:$E$5000,'Raw Data'!$P$3:$P$5000,"W15",'Raw Data'!$R$3:$R$5000,"D")</f>
        <v>0</v>
      </c>
      <c r="AU10" s="16">
        <f>SUMIFS('Raw Data'!$M$3:$M$5000,'Raw Data'!$P$3:$P$5000,"W16",'Raw Data'!$R$3:$R$5000,"B")+SUMIFS('Raw Data'!$M$3:$M$5000,'Raw Data'!$P$3:$P$5000,"W16",'Raw Data'!$R$3:$R$5000,"C")+SUMIFS('Raw Data'!$M$3:$M$5000,'Raw Data'!$P$3:$P$5000,"W16",'Raw Data'!$R$3:$R$5000,"D")</f>
        <v>0</v>
      </c>
      <c r="AV10" s="16">
        <f>SUMIFS('Raw Data'!$N$3:$N$5000,'Raw Data'!$P$3:$P$5000,"W16",'Raw Data'!$R$3:$R$5000,"B")+SUMIFS('Raw Data'!$N$3:$N$5000,'Raw Data'!$P$3:$P$5000,"W16",'Raw Data'!$R$3:$R$5000,"C")+SUMIFS('Raw Data'!$N$3:$N$5000,'Raw Data'!$P$3:$P$5000,"W16",'Raw Data'!$R$3:$R$5000,"D")</f>
        <v>0</v>
      </c>
      <c r="AW10" s="17">
        <f>SUMIFS('Raw Data'!$E$3:$E$5000,'Raw Data'!$P$3:$P$5000,"W16",'Raw Data'!$R$3:$R$5000,"B")+SUMIFS('Raw Data'!$E$3:$E$5000,'Raw Data'!$P$3:$P$5000,"W16",'Raw Data'!$R$3:$R$5000,"C")+SUMIFS('Raw Data'!$E$3:$E$5000,'Raw Data'!$P$3:$P$5000,"W16",'Raw Data'!$R$3:$R$5000,"D")</f>
        <v>0</v>
      </c>
      <c r="AX10" s="16">
        <f>SUMIFS('Raw Data'!$M$3:$M$5000,'Raw Data'!$P$3:$P$5000,"W17",'Raw Data'!$R$3:$R$5000,"B")+SUMIFS('Raw Data'!$M$3:$M$5000,'Raw Data'!$P$3:$P$5000,"W17",'Raw Data'!$R$3:$R$5000,"C")+SUMIFS('Raw Data'!$M$3:$M$5000,'Raw Data'!$P$3:$P$5000,"W17",'Raw Data'!$R$3:$R$5000,"D")</f>
        <v>0</v>
      </c>
      <c r="AY10" s="16">
        <f>SUMIFS('Raw Data'!$N$3:$N$5000,'Raw Data'!$P$3:$P$5000,"W17",'Raw Data'!$R$3:$R$5000,"B")+SUMIFS('Raw Data'!$N$3:$N$5000,'Raw Data'!$P$3:$P$5000,"W17",'Raw Data'!$R$3:$R$5000,"C")+SUMIFS('Raw Data'!$N$3:$N$5000,'Raw Data'!$P$3:$P$5000,"W17",'Raw Data'!$R$3:$R$5000,"D")</f>
        <v>0</v>
      </c>
      <c r="AZ10" s="17">
        <f>SUMIFS('Raw Data'!$E$3:$E$5000,'Raw Data'!$P$3:$P$5000,"W17",'Raw Data'!$R$3:$R$5000,"B")+SUMIFS('Raw Data'!$E$3:$E$5000,'Raw Data'!$P$3:$P$5000,"W17",'Raw Data'!$R$3:$R$5000,"C")+SUMIFS('Raw Data'!$E$3:$E$5000,'Raw Data'!$P$3:$P$5000,"W17",'Raw Data'!$R$3:$R$5000,"D")</f>
        <v>0</v>
      </c>
      <c r="BA10" s="16">
        <f>SUMIFS('Raw Data'!$M$3:$M$5000,'Raw Data'!$P$3:$P$5000,"W18",'Raw Data'!$R$3:$R$5000,"B")+SUMIFS('Raw Data'!$M$3:$M$5000,'Raw Data'!$P$3:$P$5000,"W18",'Raw Data'!$R$3:$R$5000,"C")+SUMIFS('Raw Data'!$M$3:$M$5000,'Raw Data'!$P$3:$P$5000,"W18",'Raw Data'!$R$3:$R$5000,"D")</f>
        <v>0</v>
      </c>
      <c r="BB10" s="16">
        <f>SUMIFS('Raw Data'!$N$3:$N$5000,'Raw Data'!$P$3:$P$5000,"W18",'Raw Data'!$R$3:$R$5000,"B")+SUMIFS('Raw Data'!$N$3:$N$5000,'Raw Data'!$P$3:$P$5000,"W18",'Raw Data'!$R$3:$R$5000,"C")+SUMIFS('Raw Data'!$N$3:$N$5000,'Raw Data'!$P$3:$P$5000,"W18",'Raw Data'!$R$3:$R$5000,"D")</f>
        <v>0</v>
      </c>
      <c r="BC10" s="17">
        <f>SUMIFS('Raw Data'!$E$3:$E$5000,'Raw Data'!$P$3:$P$5000,"W18",'Raw Data'!$R$3:$R$5000,"B")+SUMIFS('Raw Data'!$E$3:$E$5000,'Raw Data'!$P$3:$P$5000,"W18",'Raw Data'!$R$3:$R$5000,"C")+SUMIFS('Raw Data'!$E$3:$E$5000,'Raw Data'!$P$3:$P$5000,"W18",'Raw Data'!$R$3:$R$5000,"D")</f>
        <v>0</v>
      </c>
      <c r="BD10" s="16">
        <f>SUMIFS('Raw Data'!$M$3:$M$5000,'Raw Data'!$P$3:$P$5000,"W19",'Raw Data'!$R$3:$R$5000,"B")+SUMIFS('Raw Data'!$M$3:$M$5000,'Raw Data'!$P$3:$P$5000,"W19",'Raw Data'!$R$3:$R$5000,"C")+SUMIFS('Raw Data'!$M$3:$M$5000,'Raw Data'!$P$3:$P$5000,"W19",'Raw Data'!$R$3:$R$5000,"D")</f>
        <v>0</v>
      </c>
      <c r="BE10" s="16">
        <f>SUMIFS('Raw Data'!$N$3:$N$5000,'Raw Data'!$P$3:$P$5000,"W19",'Raw Data'!$R$3:$R$5000,"B")+SUMIFS('Raw Data'!$N$3:$N$5000,'Raw Data'!$P$3:$P$5000,"W19",'Raw Data'!$R$3:$R$5000,"C")+SUMIFS('Raw Data'!$N$3:$N$5000,'Raw Data'!$P$3:$P$5000,"W19",'Raw Data'!$R$3:$R$5000,"D")</f>
        <v>0</v>
      </c>
      <c r="BF10" s="17">
        <f>SUMIFS('Raw Data'!$E$3:$E$5000,'Raw Data'!$P$3:$P$5000,"W19",'Raw Data'!$R$3:$R$5000,"B")+SUMIFS('Raw Data'!$E$3:$E$5000,'Raw Data'!$P$3:$P$5000,"W19",'Raw Data'!$R$3:$R$5000,"C")+SUMIFS('Raw Data'!$E$3:$E$5000,'Raw Data'!$P$3:$P$5000,"W19",'Raw Data'!$R$3:$R$5000,"D")</f>
        <v>0</v>
      </c>
      <c r="BG10" s="16">
        <f>SUMIFS('Raw Data'!$M$3:$M$5000,'Raw Data'!$P$3:$P$5000,"W20",'Raw Data'!$R$3:$R$5000,"B")+SUMIFS('Raw Data'!$M$3:$M$5000,'Raw Data'!$P$3:$P$5000,"W20",'Raw Data'!$R$3:$R$5000,"C")+SUMIFS('Raw Data'!$M$3:$M$5000,'Raw Data'!$P$3:$P$5000,"W20",'Raw Data'!$R$3:$R$5000,"D")</f>
        <v>0</v>
      </c>
      <c r="BH10" s="16">
        <f>SUMIFS('Raw Data'!$N$3:$N$5000,'Raw Data'!$P$3:$P$5000,"W20",'Raw Data'!$R$3:$R$5000,"B")+SUMIFS('Raw Data'!$N$3:$N$5000,'Raw Data'!$P$3:$P$5000,"W20",'Raw Data'!$R$3:$R$5000,"C")+SUMIFS('Raw Data'!$N$3:$N$5000,'Raw Data'!$P$3:$P$5000,"W20",'Raw Data'!$R$3:$R$5000,"D")</f>
        <v>0</v>
      </c>
      <c r="BI10" s="17">
        <f>SUMIFS('Raw Data'!$E$3:$E$5000,'Raw Data'!$P$3:$P$5000,"W20",'Raw Data'!$R$3:$R$5000,"B")+SUMIFS('Raw Data'!$E$3:$E$5000,'Raw Data'!$P$3:$P$5000,"W20",'Raw Data'!$R$3:$R$5000,"C")+SUMIFS('Raw Data'!$E$3:$E$5000,'Raw Data'!$P$3:$P$5000,"W20",'Raw Data'!$R$3:$R$5000,"D")</f>
        <v>0</v>
      </c>
      <c r="BJ10" s="16">
        <f>SUMIFS('Raw Data'!$M$3:$M$5000,'Raw Data'!$P$3:$P$5000,"W21",'Raw Data'!$R$3:$R$5000,"B")+SUMIFS('Raw Data'!$M$3:$M$5000,'Raw Data'!$P$3:$P$5000,"W21",'Raw Data'!$R$3:$R$5000,"C")+SUMIFS('Raw Data'!$M$3:$M$5000,'Raw Data'!$P$3:$P$5000,"W21",'Raw Data'!$R$3:$R$5000,"D")</f>
        <v>0</v>
      </c>
      <c r="BK10" s="16">
        <f>SUMIFS('Raw Data'!$N$3:$N$5000,'Raw Data'!$P$3:$P$5000,"W21",'Raw Data'!$R$3:$R$5000,"B")+SUMIFS('Raw Data'!$N$3:$N$5000,'Raw Data'!$P$3:$P$5000,"W21",'Raw Data'!$R$3:$R$5000,"C")+SUMIFS('Raw Data'!$N$3:$N$5000,'Raw Data'!$P$3:$P$5000,"W21",'Raw Data'!$R$3:$R$5000,"D")</f>
        <v>0</v>
      </c>
      <c r="BL10" s="17">
        <f>SUMIFS('Raw Data'!$E$3:$E$5000,'Raw Data'!$P$3:$P$5000,"W21",'Raw Data'!$R$3:$R$5000,"B")+SUMIFS('Raw Data'!$E$3:$E$5000,'Raw Data'!$P$3:$P$5000,"W21",'Raw Data'!$R$3:$R$5000,"C")+SUMIFS('Raw Data'!$E$3:$E$5000,'Raw Data'!$P$3:$P$5000,"W21",'Raw Data'!$R$3:$R$5000,"D")</f>
        <v>0</v>
      </c>
      <c r="BM10" s="16">
        <f>SUMIFS('Raw Data'!$M$3:$M$5000,'Raw Data'!$P$3:$P$5000,"W22",'Raw Data'!$R$3:$R$5000,"B")+SUMIFS('Raw Data'!$M$3:$M$5000,'Raw Data'!$P$3:$P$5000,"W22",'Raw Data'!$R$3:$R$5000,"C")+SUMIFS('Raw Data'!$M$3:$M$5000,'Raw Data'!$P$3:$P$5000,"W22",'Raw Data'!$R$3:$R$5000,"D")</f>
        <v>0</v>
      </c>
      <c r="BN10" s="16">
        <f>SUMIFS('Raw Data'!$N$3:$N$5000,'Raw Data'!$P$3:$P$5000,"W22",'Raw Data'!$R$3:$R$5000,"B")+SUMIFS('Raw Data'!$N$3:$N$5000,'Raw Data'!$P$3:$P$5000,"W22",'Raw Data'!$R$3:$R$5000,"C")+SUMIFS('Raw Data'!$N$3:$N$5000,'Raw Data'!$P$3:$P$5000,"W22",'Raw Data'!$R$3:$R$5000,"D")</f>
        <v>0</v>
      </c>
      <c r="BO10" s="17">
        <f>SUMIFS('Raw Data'!$E$3:$E$5000,'Raw Data'!$P$3:$P$5000,"W22",'Raw Data'!$R$3:$R$5000,"B")+SUMIFS('Raw Data'!$E$3:$E$5000,'Raw Data'!$P$3:$P$5000,"W22",'Raw Data'!$R$3:$R$5000,"C")+SUMIFS('Raw Data'!$E$3:$E$5000,'Raw Data'!$P$3:$P$5000,"W22",'Raw Data'!$R$3:$R$5000,"D")</f>
        <v>0</v>
      </c>
      <c r="BP10" s="16">
        <f>SUMIFS('Raw Data'!$M$3:$M$5000,'Raw Data'!$P$3:$P$5000,"W23",'Raw Data'!$R$3:$R$5000,"B")+SUMIFS('Raw Data'!$M$3:$M$5000,'Raw Data'!$P$3:$P$5000,"W23",'Raw Data'!$R$3:$R$5000,"C")+SUMIFS('Raw Data'!$M$3:$M$5000,'Raw Data'!$P$3:$P$5000,"W23",'Raw Data'!$R$3:$R$5000,"D")</f>
        <v>0</v>
      </c>
      <c r="BQ10" s="16">
        <f>SUMIFS('Raw Data'!$N$3:$N$5000,'Raw Data'!$P$3:$P$5000,"W23",'Raw Data'!$R$3:$R$5000,"B")+SUMIFS('Raw Data'!$N$3:$N$5000,'Raw Data'!$P$3:$P$5000,"W23",'Raw Data'!$R$3:$R$5000,"C")+SUMIFS('Raw Data'!$N$3:$N$5000,'Raw Data'!$P$3:$P$5000,"W23",'Raw Data'!$R$3:$R$5000,"D")</f>
        <v>0</v>
      </c>
      <c r="BR10" s="17">
        <f>SUMIFS('Raw Data'!$E$3:$E$5000,'Raw Data'!$P$3:$P$5000,"W23",'Raw Data'!$R$3:$R$5000,"B")+SUMIFS('Raw Data'!$E$3:$E$5000,'Raw Data'!$P$3:$P$5000,"W23",'Raw Data'!$R$3:$R$5000,"C")+SUMIFS('Raw Data'!$E$3:$E$5000,'Raw Data'!$P$3:$P$5000,"W23",'Raw Data'!$R$3:$R$5000,"D")</f>
        <v>0</v>
      </c>
      <c r="BS10" s="16">
        <f>SUMIFS('Raw Data'!$M$3:$M$5000,'Raw Data'!$P$3:$P$5000,"W24",'Raw Data'!$R$3:$R$5000,"B")+SUMIFS('Raw Data'!$M$3:$M$5000,'Raw Data'!$P$3:$P$5000,"W24",'Raw Data'!$R$3:$R$5000,"C")+SUMIFS('Raw Data'!$M$3:$M$5000,'Raw Data'!$P$3:$P$5000,"W24",'Raw Data'!$R$3:$R$5000,"D")</f>
        <v>0</v>
      </c>
      <c r="BT10" s="16">
        <f>SUMIFS('Raw Data'!$N$3:$N$5000,'Raw Data'!$P$3:$P$5000,"W24",'Raw Data'!$R$3:$R$5000,"B")+SUMIFS('Raw Data'!$N$3:$N$5000,'Raw Data'!$P$3:$P$5000,"W24",'Raw Data'!$R$3:$R$5000,"C")+SUMIFS('Raw Data'!$N$3:$N$5000,'Raw Data'!$P$3:$P$5000,"W24",'Raw Data'!$R$3:$R$5000,"D")</f>
        <v>0</v>
      </c>
      <c r="BU10" s="17">
        <f>SUMIFS('Raw Data'!$E$3:$E$5000,'Raw Data'!$P$3:$P$5000,"W24",'Raw Data'!$R$3:$R$5000,"B")+SUMIFS('Raw Data'!$E$3:$E$5000,'Raw Data'!$P$3:$P$5000,"W24",'Raw Data'!$R$3:$R$5000,"C")+SUMIFS('Raw Data'!$E$3:$E$5000,'Raw Data'!$P$3:$P$5000,"W24",'Raw Data'!$R$3:$R$5000,"D")</f>
        <v>0</v>
      </c>
      <c r="BV10" s="16">
        <f>SUMIFS('Raw Data'!$M$3:$M$5000,'Raw Data'!$P$3:$P$5000,"W25",'Raw Data'!$R$3:$R$5000,"B")+SUMIFS('Raw Data'!$M$3:$M$5000,'Raw Data'!$P$3:$P$5000,"W25",'Raw Data'!$R$3:$R$5000,"C")+SUMIFS('Raw Data'!$M$3:$M$5000,'Raw Data'!$P$3:$P$5000,"W25",'Raw Data'!$R$3:$R$5000,"D")</f>
        <v>0</v>
      </c>
      <c r="BW10" s="16">
        <f>SUMIFS('Raw Data'!$N$3:$N$5000,'Raw Data'!$P$3:$P$5000,"W25",'Raw Data'!$R$3:$R$5000,"B")+SUMIFS('Raw Data'!$N$3:$N$5000,'Raw Data'!$P$3:$P$5000,"W25",'Raw Data'!$R$3:$R$5000,"C")+SUMIFS('Raw Data'!$N$3:$N$5000,'Raw Data'!$P$3:$P$5000,"W25",'Raw Data'!$R$3:$R$5000,"D")</f>
        <v>0</v>
      </c>
      <c r="BX10" s="17">
        <f>SUMIFS('Raw Data'!$E$3:$E$5000,'Raw Data'!$P$3:$P$5000,"W25",'Raw Data'!$R$3:$R$5000,"B")+SUMIFS('Raw Data'!$E$3:$E$5000,'Raw Data'!$P$3:$P$5000,"W25",'Raw Data'!$R$3:$R$5000,"C")+SUMIFS('Raw Data'!$E$3:$E$5000,'Raw Data'!$P$3:$P$5000,"W25",'Raw Data'!$R$3:$R$5000,"D")</f>
        <v>0</v>
      </c>
      <c r="BY10" s="16">
        <f>SUMIFS('Raw Data'!$M$3:$M$5000,'Raw Data'!$P$3:$P$5000,"W26",'Raw Data'!$R$3:$R$5000,"B")+SUMIFS('Raw Data'!$M$3:$M$5000,'Raw Data'!$P$3:$P$5000,"W26",'Raw Data'!$R$3:$R$5000,"C")+SUMIFS('Raw Data'!$M$3:$M$5000,'Raw Data'!$P$3:$P$5000,"W26",'Raw Data'!$R$3:$R$5000,"D")</f>
        <v>0</v>
      </c>
      <c r="BZ10" s="16">
        <f>SUMIFS('Raw Data'!$N$3:$N$5000,'Raw Data'!$P$3:$P$5000,"W26",'Raw Data'!$R$3:$R$5000,"B")+SUMIFS('Raw Data'!$N$3:$N$5000,'Raw Data'!$P$3:$P$5000,"W26",'Raw Data'!$R$3:$R$5000,"C")+SUMIFS('Raw Data'!$N$3:$N$5000,'Raw Data'!$P$3:$P$5000,"W26",'Raw Data'!$R$3:$R$5000,"D")</f>
        <v>0</v>
      </c>
      <c r="CA10" s="17">
        <f>SUMIFS('Raw Data'!$E$3:$E$5000,'Raw Data'!$P$3:$P$5000,"W26",'Raw Data'!$R$3:$R$5000,"B")+SUMIFS('Raw Data'!$E$3:$E$5000,'Raw Data'!$P$3:$P$5000,"W26",'Raw Data'!$R$3:$R$5000,"C")+SUMIFS('Raw Data'!$E$3:$E$5000,'Raw Data'!$P$3:$P$5000,"W26",'Raw Data'!$R$3:$R$5000,"D")</f>
        <v>0</v>
      </c>
      <c r="CB10" s="16">
        <f>SUMIFS('Raw Data'!$M$3:$M$5000,'Raw Data'!$P$3:$P$5000,"W27",'Raw Data'!$R$3:$R$5000,"B")+SUMIFS('Raw Data'!$M$3:$M$5000,'Raw Data'!$P$3:$P$5000,"W27",'Raw Data'!$R$3:$R$5000,"C")+SUMIFS('Raw Data'!$M$3:$M$5000,'Raw Data'!$P$3:$P$5000,"W27",'Raw Data'!$R$3:$R$5000,"D")</f>
        <v>0</v>
      </c>
      <c r="CC10" s="16">
        <f>SUMIFS('Raw Data'!$N$3:$N$5000,'Raw Data'!$P$3:$P$5000,"W27",'Raw Data'!$R$3:$R$5000,"B")+SUMIFS('Raw Data'!$N$3:$N$5000,'Raw Data'!$P$3:$P$5000,"W27",'Raw Data'!$R$3:$R$5000,"C")+SUMIFS('Raw Data'!$N$3:$N$5000,'Raw Data'!$P$3:$P$5000,"W27",'Raw Data'!$R$3:$R$5000,"D")</f>
        <v>0</v>
      </c>
      <c r="CD10" s="17">
        <f>SUMIFS('Raw Data'!$E$3:$E$5000,'Raw Data'!$P$3:$P$5000,"W27",'Raw Data'!$R$3:$R$5000,"B")+SUMIFS('Raw Data'!$E$3:$E$5000,'Raw Data'!$P$3:$P$5000,"W27",'Raw Data'!$R$3:$R$5000,"C")+SUMIFS('Raw Data'!$E$3:$E$5000,'Raw Data'!$P$3:$P$5000,"W27",'Raw Data'!$R$3:$R$5000,"D")</f>
        <v>0</v>
      </c>
      <c r="CE10" s="16">
        <f>SUMIFS('Raw Data'!$M$3:$M$5000,'Raw Data'!$P$3:$P$5000,"W28",'Raw Data'!$R$3:$R$5000,"B")+SUMIFS('Raw Data'!$M$3:$M$5000,'Raw Data'!$P$3:$P$5000,"W28",'Raw Data'!$R$3:$R$5000,"C")+SUMIFS('Raw Data'!$M$3:$M$5000,'Raw Data'!$P$3:$P$5000,"W28",'Raw Data'!$R$3:$R$5000,"D")</f>
        <v>0</v>
      </c>
      <c r="CF10" s="16">
        <f>SUMIFS('Raw Data'!$N$3:$N$5000,'Raw Data'!$P$3:$P$5000,"W28",'Raw Data'!$R$3:$R$5000,"B")+SUMIFS('Raw Data'!$N$3:$N$5000,'Raw Data'!$P$3:$P$5000,"W28",'Raw Data'!$R$3:$R$5000,"C")+SUMIFS('Raw Data'!$N$3:$N$5000,'Raw Data'!$P$3:$P$5000,"W28",'Raw Data'!$R$3:$R$5000,"D")</f>
        <v>0</v>
      </c>
      <c r="CG10" s="17">
        <f>SUMIFS('Raw Data'!$E$3:$E$5000,'Raw Data'!$P$3:$P$5000,"W28",'Raw Data'!$R$3:$R$5000,"B")+SUMIFS('Raw Data'!$E$3:$E$5000,'Raw Data'!$P$3:$P$5000,"W28",'Raw Data'!$R$3:$R$5000,"C")+SUMIFS('Raw Data'!$E$3:$E$5000,'Raw Data'!$P$3:$P$5000,"W28",'Raw Data'!$R$3:$R$5000,"D")</f>
        <v>0</v>
      </c>
      <c r="CH10" s="16">
        <f>SUMIFS('Raw Data'!$M$3:$M$5000,'Raw Data'!$P$3:$P$5000,"W29",'Raw Data'!$R$3:$R$5000,"B")+SUMIFS('Raw Data'!$M$3:$M$5000,'Raw Data'!$P$3:$P$5000,"W29",'Raw Data'!$R$3:$R$5000,"C")+SUMIFS('Raw Data'!$M$3:$M$5000,'Raw Data'!$P$3:$P$5000,"W29",'Raw Data'!$R$3:$R$5000,"D")</f>
        <v>0</v>
      </c>
      <c r="CI10" s="16">
        <f>SUMIFS('Raw Data'!$N$3:$N$5000,'Raw Data'!$P$3:$P$5000,"W29",'Raw Data'!$R$3:$R$5000,"B")+SUMIFS('Raw Data'!$N$3:$N$5000,'Raw Data'!$P$3:$P$5000,"W29",'Raw Data'!$R$3:$R$5000,"C")+SUMIFS('Raw Data'!$N$3:$N$5000,'Raw Data'!$P$3:$P$5000,"W29",'Raw Data'!$R$3:$R$5000,"D")</f>
        <v>0</v>
      </c>
      <c r="CJ10" s="17">
        <f>SUMIFS('Raw Data'!$E$3:$E$5000,'Raw Data'!$P$3:$P$5000,"W29",'Raw Data'!$R$3:$R$5000,"B")+SUMIFS('Raw Data'!$E$3:$E$5000,'Raw Data'!$P$3:$P$5000,"W29",'Raw Data'!$R$3:$R$5000,"C")+SUMIFS('Raw Data'!$E$3:$E$5000,'Raw Data'!$P$3:$P$5000,"W29",'Raw Data'!$R$3:$R$5000,"D")</f>
        <v>0</v>
      </c>
      <c r="CK10" s="16">
        <f>SUMIFS('Raw Data'!$M$3:$M$5000,'Raw Data'!$P$3:$P$5000,"W30",'Raw Data'!$R$3:$R$5000,"B")+SUMIFS('Raw Data'!$M$3:$M$5000,'Raw Data'!$P$3:$P$5000,"W30",'Raw Data'!$R$3:$R$5000,"C")+SUMIFS('Raw Data'!$M$3:$M$5000,'Raw Data'!$P$3:$P$5000,"W30",'Raw Data'!$R$3:$R$5000,"D")</f>
        <v>0</v>
      </c>
      <c r="CL10" s="16">
        <f>SUMIFS('Raw Data'!$N$3:$N$5000,'Raw Data'!$P$3:$P$5000,"W30",'Raw Data'!$R$3:$R$5000,"B")+SUMIFS('Raw Data'!$N$3:$N$5000,'Raw Data'!$P$3:$P$5000,"W30",'Raw Data'!$R$3:$R$5000,"C")+SUMIFS('Raw Data'!$N$3:$N$5000,'Raw Data'!$P$3:$P$5000,"W30",'Raw Data'!$R$3:$R$5000,"D")</f>
        <v>0</v>
      </c>
      <c r="CM10" s="17">
        <f>SUMIFS('Raw Data'!$E$3:$E$5000,'Raw Data'!$P$3:$P$5000,"W30",'Raw Data'!$R$3:$R$5000,"B")+SUMIFS('Raw Data'!$E$3:$E$5000,'Raw Data'!$P$3:$P$5000,"W30",'Raw Data'!$R$3:$R$5000,"C")+SUMIFS('Raw Data'!$E$3:$E$5000,'Raw Data'!$P$3:$P$5000,"W30",'Raw Data'!$R$3:$R$5000,"D")</f>
        <v>0</v>
      </c>
      <c r="CN10" s="16">
        <f>SUMIFS('Raw Data'!$M$3:$M$5000,'Raw Data'!$P$3:$P$5000,"W31",'Raw Data'!$R$3:$R$5000,"B")+SUMIFS('Raw Data'!$M$3:$M$5000,'Raw Data'!$P$3:$P$5000,"W31",'Raw Data'!$R$3:$R$5000,"C")+SUMIFS('Raw Data'!$M$3:$M$5000,'Raw Data'!$P$3:$P$5000,"W31",'Raw Data'!$R$3:$R$5000,"D")</f>
        <v>0</v>
      </c>
      <c r="CO10" s="16">
        <f>SUMIFS('Raw Data'!$N$3:$N$5000,'Raw Data'!$P$3:$P$5000,"W31",'Raw Data'!$R$3:$R$5000,"B")+SUMIFS('Raw Data'!$N$3:$N$5000,'Raw Data'!$P$3:$P$5000,"W31",'Raw Data'!$R$3:$R$5000,"C")+SUMIFS('Raw Data'!$N$3:$N$5000,'Raw Data'!$P$3:$P$5000,"W31",'Raw Data'!$R$3:$R$5000,"D")</f>
        <v>0</v>
      </c>
      <c r="CP10" s="17">
        <f>SUMIFS('Raw Data'!$E$3:$E$5000,'Raw Data'!$P$3:$P$5000,"W31",'Raw Data'!$R$3:$R$5000,"B")+SUMIFS('Raw Data'!$E$3:$E$5000,'Raw Data'!$P$3:$P$5000,"W31",'Raw Data'!$R$3:$R$5000,"C")+SUMIFS('Raw Data'!$E$3:$E$5000,'Raw Data'!$P$3:$P$5000,"W31",'Raw Data'!$R$3:$R$5000,"D")</f>
        <v>0</v>
      </c>
      <c r="CQ10" s="16">
        <f>SUMIFS('Raw Data'!$M$3:$M$5000,'Raw Data'!$P$3:$P$5000,"W32",'Raw Data'!$R$3:$R$5000,"B")+SUMIFS('Raw Data'!$M$3:$M$5000,'Raw Data'!$P$3:$P$5000,"W32",'Raw Data'!$R$3:$R$5000,"C")+SUMIFS('Raw Data'!$M$3:$M$5000,'Raw Data'!$P$3:$P$5000,"W32",'Raw Data'!$R$3:$R$5000,"D")</f>
        <v>0</v>
      </c>
      <c r="CR10" s="16">
        <f>SUMIFS('Raw Data'!$N$3:$N$5000,'Raw Data'!$P$3:$P$5000,"W32",'Raw Data'!$R$3:$R$5000,"B")+SUMIFS('Raw Data'!$N$3:$N$5000,'Raw Data'!$P$3:$P$5000,"W32",'Raw Data'!$R$3:$R$5000,"C")+SUMIFS('Raw Data'!$N$3:$N$5000,'Raw Data'!$P$3:$P$5000,"W32",'Raw Data'!$R$3:$R$5000,"D")</f>
        <v>0</v>
      </c>
      <c r="CS10" s="17">
        <f>SUMIFS('Raw Data'!$E$3:$E$5000,'Raw Data'!$P$3:$P$5000,"W32",'Raw Data'!$R$3:$R$5000,"B")+SUMIFS('Raw Data'!$E$3:$E$5000,'Raw Data'!$P$3:$P$5000,"W32",'Raw Data'!$R$3:$R$5000,"C")+SUMIFS('Raw Data'!$E$3:$E$5000,'Raw Data'!$P$3:$P$5000,"W32",'Raw Data'!$R$3:$R$5000,"D")</f>
        <v>0</v>
      </c>
      <c r="CT10" s="16">
        <f>SUMIFS('Raw Data'!$M$3:$M$5000,'Raw Data'!$P$3:$P$5000,"W33",'Raw Data'!$R$3:$R$5000,"B")+SUMIFS('Raw Data'!$M$3:$M$5000,'Raw Data'!$P$3:$P$5000,"W33",'Raw Data'!$R$3:$R$5000,"C")+SUMIFS('Raw Data'!$M$3:$M$5000,'Raw Data'!$P$3:$P$5000,"W33",'Raw Data'!$R$3:$R$5000,"D")</f>
        <v>0</v>
      </c>
      <c r="CU10" s="16">
        <f>SUMIFS('Raw Data'!$N$3:$N$5000,'Raw Data'!$P$3:$P$5000,"W33",'Raw Data'!$R$3:$R$5000,"B")+SUMIFS('Raw Data'!$N$3:$N$5000,'Raw Data'!$P$3:$P$5000,"W33",'Raw Data'!$R$3:$R$5000,"C")+SUMIFS('Raw Data'!$N$3:$N$5000,'Raw Data'!$P$3:$P$5000,"W33",'Raw Data'!$R$3:$R$5000,"D")</f>
        <v>0</v>
      </c>
      <c r="CV10" s="17">
        <f>SUMIFS('Raw Data'!$E$3:$E$5000,'Raw Data'!$P$3:$P$5000,"W33",'Raw Data'!$R$3:$R$5000,"B")+SUMIFS('Raw Data'!$E$3:$E$5000,'Raw Data'!$P$3:$P$5000,"W33",'Raw Data'!$R$3:$R$5000,"C")+SUMIFS('Raw Data'!$E$3:$E$5000,'Raw Data'!$P$3:$P$5000,"W33",'Raw Data'!$R$3:$R$5000,"D")</f>
        <v>0</v>
      </c>
      <c r="CW10" s="16">
        <f>SUMIFS('Raw Data'!$M$3:$M$5000,'Raw Data'!$P$3:$P$5000,"W34",'Raw Data'!$R$3:$R$5000,"B")+SUMIFS('Raw Data'!$M$3:$M$5000,'Raw Data'!$P$3:$P$5000,"W34",'Raw Data'!$R$3:$R$5000,"C")+SUMIFS('Raw Data'!$M$3:$M$5000,'Raw Data'!$P$3:$P$5000,"W34",'Raw Data'!$R$3:$R$5000,"D")</f>
        <v>0</v>
      </c>
      <c r="CX10" s="16">
        <f>SUMIFS('Raw Data'!$N$3:$N$5000,'Raw Data'!$P$3:$P$5000,"W34",'Raw Data'!$R$3:$R$5000,"B")+SUMIFS('Raw Data'!$N$3:$N$5000,'Raw Data'!$P$3:$P$5000,"W34",'Raw Data'!$R$3:$R$5000,"C")+SUMIFS('Raw Data'!$N$3:$N$5000,'Raw Data'!$P$3:$P$5000,"W34",'Raw Data'!$R$3:$R$5000,"D")</f>
        <v>0</v>
      </c>
      <c r="CY10" s="17">
        <f>SUMIFS('Raw Data'!$E$3:$E$5000,'Raw Data'!$P$3:$P$5000,"W34",'Raw Data'!$R$3:$R$5000,"B")+SUMIFS('Raw Data'!$E$3:$E$5000,'Raw Data'!$P$3:$P$5000,"W34",'Raw Data'!$R$3:$R$5000,"C")+SUMIFS('Raw Data'!$E$3:$E$5000,'Raw Data'!$P$3:$P$5000,"W34",'Raw Data'!$R$3:$R$5000,"D")</f>
        <v>0</v>
      </c>
      <c r="CZ10" s="16">
        <f>SUMIFS('Raw Data'!$M$3:$M$5000,'Raw Data'!$P$3:$P$5000,"W35",'Raw Data'!$R$3:$R$5000,"B")+SUMIFS('Raw Data'!$M$3:$M$5000,'Raw Data'!$P$3:$P$5000,"W35",'Raw Data'!$R$3:$R$5000,"C")+SUMIFS('Raw Data'!$M$3:$M$5000,'Raw Data'!$P$3:$P$5000,"W35",'Raw Data'!$R$3:$R$5000,"D")</f>
        <v>0</v>
      </c>
      <c r="DA10" s="16">
        <f>SUMIFS('Raw Data'!$N$3:$N$5000,'Raw Data'!$P$3:$P$5000,"W35",'Raw Data'!$R$3:$R$5000,"B")+SUMIFS('Raw Data'!$N$3:$N$5000,'Raw Data'!$P$3:$P$5000,"W35",'Raw Data'!$R$3:$R$5000,"C")+SUMIFS('Raw Data'!$N$3:$N$5000,'Raw Data'!$P$3:$P$5000,"W35",'Raw Data'!$R$3:$R$5000,"D")</f>
        <v>0</v>
      </c>
      <c r="DB10" s="17">
        <f>SUMIFS('Raw Data'!$E$3:$E$5000,'Raw Data'!$P$3:$P$5000,"W35",'Raw Data'!$R$3:$R$5000,"B")+SUMIFS('Raw Data'!$E$3:$E$5000,'Raw Data'!$P$3:$P$5000,"W35",'Raw Data'!$R$3:$R$5000,"C")+SUMIFS('Raw Data'!$E$3:$E$5000,'Raw Data'!$P$3:$P$5000,"W35",'Raw Data'!$R$3:$R$5000,"D")</f>
        <v>0</v>
      </c>
      <c r="DC10" s="16">
        <f>SUMIFS('Raw Data'!$M$3:$M$5000,'Raw Data'!$P$3:$P$5000,"W36",'Raw Data'!$R$3:$R$5000,"B")+SUMIFS('Raw Data'!$M$3:$M$5000,'Raw Data'!$P$3:$P$5000,"W36",'Raw Data'!$R$3:$R$5000,"C")+SUMIFS('Raw Data'!$M$3:$M$5000,'Raw Data'!$P$3:$P$5000,"W36",'Raw Data'!$R$3:$R$5000,"D")</f>
        <v>0</v>
      </c>
      <c r="DD10" s="16">
        <f>SUMIFS('Raw Data'!$N$3:$N$5000,'Raw Data'!$P$3:$P$5000,"W36",'Raw Data'!$R$3:$R$5000,"B")+SUMIFS('Raw Data'!$N$3:$N$5000,'Raw Data'!$P$3:$P$5000,"W36",'Raw Data'!$R$3:$R$5000,"C")+SUMIFS('Raw Data'!$N$3:$N$5000,'Raw Data'!$P$3:$P$5000,"W36",'Raw Data'!$R$3:$R$5000,"D")</f>
        <v>0</v>
      </c>
      <c r="DE10" s="17">
        <f>SUMIFS('Raw Data'!$E$3:$E$5000,'Raw Data'!$P$3:$P$5000,"W36",'Raw Data'!$R$3:$R$5000,"B")+SUMIFS('Raw Data'!$E$3:$E$5000,'Raw Data'!$P$3:$P$5000,"W36",'Raw Data'!$R$3:$R$5000,"C")+SUMIFS('Raw Data'!$E$3:$E$5000,'Raw Data'!$P$3:$P$5000,"W36",'Raw Data'!$R$3:$R$5000,"D")</f>
        <v>0</v>
      </c>
      <c r="DF10" s="16">
        <f>SUMIFS('Raw Data'!$M$3:$M$5000,'Raw Data'!$P$3:$P$5000,"W37",'Raw Data'!$R$3:$R$5000,"B")+SUMIFS('Raw Data'!$M$3:$M$5000,'Raw Data'!$P$3:$P$5000,"W37",'Raw Data'!$R$3:$R$5000,"C")+SUMIFS('Raw Data'!$M$3:$M$5000,'Raw Data'!$P$3:$P$5000,"W37",'Raw Data'!$R$3:$R$5000,"D")</f>
        <v>0</v>
      </c>
      <c r="DG10" s="16">
        <f>SUMIFS('Raw Data'!$N$3:$N$5000,'Raw Data'!$P$3:$P$5000,"W37",'Raw Data'!$R$3:$R$5000,"B")+SUMIFS('Raw Data'!$N$3:$N$5000,'Raw Data'!$P$3:$P$5000,"W37",'Raw Data'!$R$3:$R$5000,"C")+SUMIFS('Raw Data'!$N$3:$N$5000,'Raw Data'!$P$3:$P$5000,"W37",'Raw Data'!$R$3:$R$5000,"D")</f>
        <v>0</v>
      </c>
      <c r="DH10" s="17">
        <f>SUMIFS('Raw Data'!$E$3:$E$5000,'Raw Data'!$P$3:$P$5000,"W37",'Raw Data'!$R$3:$R$5000,"B")+SUMIFS('Raw Data'!$E$3:$E$5000,'Raw Data'!$P$3:$P$5000,"W37",'Raw Data'!$R$3:$R$5000,"C")+SUMIFS('Raw Data'!$E$3:$E$5000,'Raw Data'!$P$3:$P$5000,"W37",'Raw Data'!$R$3:$R$5000,"D")</f>
        <v>0</v>
      </c>
      <c r="DI10" s="16">
        <f>SUMIFS('Raw Data'!$M$3:$M$5000,'Raw Data'!$P$3:$P$5000,"W38",'Raw Data'!$R$3:$R$5000,"B")+SUMIFS('Raw Data'!$M$3:$M$5000,'Raw Data'!$P$3:$P$5000,"W38",'Raw Data'!$R$3:$R$5000,"C")+SUMIFS('Raw Data'!$M$3:$M$5000,'Raw Data'!$P$3:$P$5000,"W38",'Raw Data'!$R$3:$R$5000,"D")</f>
        <v>0</v>
      </c>
      <c r="DJ10" s="16">
        <f>SUMIFS('Raw Data'!$N$3:$N$5000,'Raw Data'!$P$3:$P$5000,"W38",'Raw Data'!$R$3:$R$5000,"B")+SUMIFS('Raw Data'!$N$3:$N$5000,'Raw Data'!$P$3:$P$5000,"W38",'Raw Data'!$R$3:$R$5000,"C")+SUMIFS('Raw Data'!$N$3:$N$5000,'Raw Data'!$P$3:$P$5000,"W38",'Raw Data'!$R$3:$R$5000,"D")</f>
        <v>0</v>
      </c>
      <c r="DK10" s="17">
        <f>SUMIFS('Raw Data'!$E$3:$E$5000,'Raw Data'!$P$3:$P$5000,"W38",'Raw Data'!$R$3:$R$5000,"B")+SUMIFS('Raw Data'!$E$3:$E$5000,'Raw Data'!$P$3:$P$5000,"W38",'Raw Data'!$R$3:$R$5000,"C")+SUMIFS('Raw Data'!$E$3:$E$5000,'Raw Data'!$P$3:$P$5000,"W38",'Raw Data'!$R$3:$R$5000,"D")</f>
        <v>0</v>
      </c>
      <c r="DL10" s="16">
        <f>SUMIFS('Raw Data'!$M$3:$M$5000,'Raw Data'!$P$3:$P$5000,"W39",'Raw Data'!$R$3:$R$5000,"B")+SUMIFS('Raw Data'!$M$3:$M$5000,'Raw Data'!$P$3:$P$5000,"W39",'Raw Data'!$R$3:$R$5000,"C")+SUMIFS('Raw Data'!$M$3:$M$5000,'Raw Data'!$P$3:$P$5000,"W39",'Raw Data'!$R$3:$R$5000,"D")</f>
        <v>0</v>
      </c>
      <c r="DM10" s="16">
        <f>SUMIFS('Raw Data'!$N$3:$N$5000,'Raw Data'!$P$3:$P$5000,"W39",'Raw Data'!$R$3:$R$5000,"B")+SUMIFS('Raw Data'!$N$3:$N$5000,'Raw Data'!$P$3:$P$5000,"W39",'Raw Data'!$R$3:$R$5000,"C")+SUMIFS('Raw Data'!$N$3:$N$5000,'Raw Data'!$P$3:$P$5000,"W39",'Raw Data'!$R$3:$R$5000,"D")</f>
        <v>0</v>
      </c>
      <c r="DN10" s="17">
        <f>SUMIFS('Raw Data'!$E$3:$E$5000,'Raw Data'!$P$3:$P$5000,"W39",'Raw Data'!$R$3:$R$5000,"B")+SUMIFS('Raw Data'!$E$3:$E$5000,'Raw Data'!$P$3:$P$5000,"W39",'Raw Data'!$R$3:$R$5000,"C")+SUMIFS('Raw Data'!$E$3:$E$5000,'Raw Data'!$P$3:$P$5000,"W39",'Raw Data'!$R$3:$R$5000,"D")</f>
        <v>0</v>
      </c>
      <c r="DO10" s="16">
        <f>SUMIFS('Raw Data'!$M$3:$M$5000,'Raw Data'!$P$3:$P$5000,"W40",'Raw Data'!$R$3:$R$5000,"B")+SUMIFS('Raw Data'!$M$3:$M$5000,'Raw Data'!$P$3:$P$5000,"W40",'Raw Data'!$R$3:$R$5000,"C")+SUMIFS('Raw Data'!$M$3:$M$5000,'Raw Data'!$P$3:$P$5000,"W40",'Raw Data'!$R$3:$R$5000,"D")</f>
        <v>0</v>
      </c>
      <c r="DP10" s="16">
        <f>SUMIFS('Raw Data'!$N$3:$N$5000,'Raw Data'!$P$3:$P$5000,"W40",'Raw Data'!$R$3:$R$5000,"B")+SUMIFS('Raw Data'!$N$3:$N$5000,'Raw Data'!$P$3:$P$5000,"W40",'Raw Data'!$R$3:$R$5000,"C")+SUMIFS('Raw Data'!$N$3:$N$5000,'Raw Data'!$P$3:$P$5000,"W40",'Raw Data'!$R$3:$R$5000,"D")</f>
        <v>0</v>
      </c>
      <c r="DQ10" s="17">
        <f>SUMIFS('Raw Data'!$E$3:$E$5000,'Raw Data'!$P$3:$P$5000,"W40",'Raw Data'!$R$3:$R$5000,"B")+SUMIFS('Raw Data'!$E$3:$E$5000,'Raw Data'!$P$3:$P$5000,"W40",'Raw Data'!$R$3:$R$5000,"C")+SUMIFS('Raw Data'!$E$3:$E$5000,'Raw Data'!$P$3:$P$5000,"W40",'Raw Data'!$R$3:$R$5000,"D")</f>
        <v>0</v>
      </c>
      <c r="DR10" s="16">
        <f>SUMIFS('Raw Data'!$M$3:$M$5000,'Raw Data'!$P$3:$P$5000,"W41",'Raw Data'!$R$3:$R$5000,"B")+SUMIFS('Raw Data'!$M$3:$M$5000,'Raw Data'!$P$3:$P$5000,"W41",'Raw Data'!$R$3:$R$5000,"C")+SUMIFS('Raw Data'!$M$3:$M$5000,'Raw Data'!$P$3:$P$5000,"W41",'Raw Data'!$R$3:$R$5000,"D")</f>
        <v>0</v>
      </c>
      <c r="DS10" s="16">
        <f>SUMIFS('Raw Data'!$N$3:$N$5000,'Raw Data'!$P$3:$P$5000,"W41",'Raw Data'!$R$3:$R$5000,"B")+SUMIFS('Raw Data'!$N$3:$N$5000,'Raw Data'!$P$3:$P$5000,"W41",'Raw Data'!$R$3:$R$5000,"C")+SUMIFS('Raw Data'!$N$3:$N$5000,'Raw Data'!$P$3:$P$5000,"W41",'Raw Data'!$R$3:$R$5000,"D")</f>
        <v>0</v>
      </c>
      <c r="DT10" s="17">
        <f>SUMIFS('Raw Data'!$E$3:$E$5000,'Raw Data'!$P$3:$P$5000,"W41",'Raw Data'!$R$3:$R$5000,"B")+SUMIFS('Raw Data'!$E$3:$E$5000,'Raw Data'!$P$3:$P$5000,"W41",'Raw Data'!$R$3:$R$5000,"C")+SUMIFS('Raw Data'!$E$3:$E$5000,'Raw Data'!$P$3:$P$5000,"W41",'Raw Data'!$R$3:$R$5000,"D")</f>
        <v>0</v>
      </c>
      <c r="DU10" s="16">
        <f>SUMIFS('Raw Data'!$M$3:$M$5000,'Raw Data'!$P$3:$P$5000,"W42",'Raw Data'!$R$3:$R$5000,"B")+SUMIFS('Raw Data'!$M$3:$M$5000,'Raw Data'!$P$3:$P$5000,"W42",'Raw Data'!$R$3:$R$5000,"C")+SUMIFS('Raw Data'!$M$3:$M$5000,'Raw Data'!$P$3:$P$5000,"W42",'Raw Data'!$R$3:$R$5000,"D")</f>
        <v>0</v>
      </c>
      <c r="DV10" s="16">
        <f>SUMIFS('Raw Data'!$N$3:$N$5000,'Raw Data'!$P$3:$P$5000,"W42",'Raw Data'!$R$3:$R$5000,"B")+SUMIFS('Raw Data'!$N$3:$N$5000,'Raw Data'!$P$3:$P$5000,"W42",'Raw Data'!$R$3:$R$5000,"C")+SUMIFS('Raw Data'!$N$3:$N$5000,'Raw Data'!$P$3:$P$5000,"W42",'Raw Data'!$R$3:$R$5000,"D")</f>
        <v>0</v>
      </c>
      <c r="DW10" s="17">
        <f>SUMIFS('Raw Data'!$E$3:$E$5000,'Raw Data'!$P$3:$P$5000,"W42",'Raw Data'!$R$3:$R$5000,"B")+SUMIFS('Raw Data'!$E$3:$E$5000,'Raw Data'!$P$3:$P$5000,"W42",'Raw Data'!$R$3:$R$5000,"C")+SUMIFS('Raw Data'!$E$3:$E$5000,'Raw Data'!$P$3:$P$5000,"W42",'Raw Data'!$R$3:$R$5000,"D")</f>
        <v>0</v>
      </c>
      <c r="DX10" s="16">
        <f>SUMIFS('Raw Data'!$M$3:$M$5000,'Raw Data'!$P$3:$P$5000,"W43",'Raw Data'!$R$3:$R$5000,"B")+SUMIFS('Raw Data'!$M$3:$M$5000,'Raw Data'!$P$3:$P$5000,"W43",'Raw Data'!$R$3:$R$5000,"C")+SUMIFS('Raw Data'!$M$3:$M$5000,'Raw Data'!$P$3:$P$5000,"W43",'Raw Data'!$R$3:$R$5000,"D")</f>
        <v>0</v>
      </c>
      <c r="DY10" s="16">
        <f>SUMIFS('Raw Data'!$N$3:$N$5000,'Raw Data'!$P$3:$P$5000,"W43",'Raw Data'!$R$3:$R$5000,"B")+SUMIFS('Raw Data'!$N$3:$N$5000,'Raw Data'!$P$3:$P$5000,"W43",'Raw Data'!$R$3:$R$5000,"C")+SUMIFS('Raw Data'!$N$3:$N$5000,'Raw Data'!$P$3:$P$5000,"W43",'Raw Data'!$R$3:$R$5000,"D")</f>
        <v>0</v>
      </c>
      <c r="DZ10" s="17">
        <f>SUMIFS('Raw Data'!$E$3:$E$5000,'Raw Data'!$P$3:$P$5000,"W43",'Raw Data'!$R$3:$R$5000,"B")+SUMIFS('Raw Data'!$E$3:$E$5000,'Raw Data'!$P$3:$P$5000,"W43",'Raw Data'!$R$3:$R$5000,"C")+SUMIFS('Raw Data'!$E$3:$E$5000,'Raw Data'!$P$3:$P$5000,"W43",'Raw Data'!$R$3:$R$5000,"D")</f>
        <v>0</v>
      </c>
      <c r="EA10" s="16">
        <f>SUMIFS('Raw Data'!$M$3:$M$5000,'Raw Data'!$P$3:$P$5000,"W44",'Raw Data'!$R$3:$R$5000,"B")+SUMIFS('Raw Data'!$M$3:$M$5000,'Raw Data'!$P$3:$P$5000,"W44",'Raw Data'!$R$3:$R$5000,"C")+SUMIFS('Raw Data'!$M$3:$M$5000,'Raw Data'!$P$3:$P$5000,"W44",'Raw Data'!$R$3:$R$5000,"D")</f>
        <v>0</v>
      </c>
      <c r="EB10" s="16">
        <f>SUMIFS('Raw Data'!$N$3:$N$5000,'Raw Data'!$P$3:$P$5000,"W44",'Raw Data'!$R$3:$R$5000,"B")+SUMIFS('Raw Data'!$N$3:$N$5000,'Raw Data'!$P$3:$P$5000,"W44",'Raw Data'!$R$3:$R$5000,"C")+SUMIFS('Raw Data'!$N$3:$N$5000,'Raw Data'!$P$3:$P$5000,"W44",'Raw Data'!$R$3:$R$5000,"D")</f>
        <v>0</v>
      </c>
      <c r="EC10" s="17">
        <f>SUMIFS('Raw Data'!$E$3:$E$5000,'Raw Data'!$P$3:$P$5000,"W44",'Raw Data'!$R$3:$R$5000,"B")+SUMIFS('Raw Data'!$E$3:$E$5000,'Raw Data'!$P$3:$P$5000,"W44",'Raw Data'!$R$3:$R$5000,"C")+SUMIFS('Raw Data'!$E$3:$E$5000,'Raw Data'!$P$3:$P$5000,"W44",'Raw Data'!$R$3:$R$5000,"D")</f>
        <v>0</v>
      </c>
      <c r="ED10" s="16">
        <f>SUMIFS('Raw Data'!$M$3:$M$5000,'Raw Data'!$P$3:$P$5000,"W45",'Raw Data'!$R$3:$R$5000,"B")+SUMIFS('Raw Data'!$M$3:$M$5000,'Raw Data'!$P$3:$P$5000,"W45",'Raw Data'!$R$3:$R$5000,"C")+SUMIFS('Raw Data'!$M$3:$M$5000,'Raw Data'!$P$3:$P$5000,"W45",'Raw Data'!$R$3:$R$5000,"D")</f>
        <v>0</v>
      </c>
      <c r="EE10" s="16">
        <f>SUMIFS('Raw Data'!$N$3:$N$5000,'Raw Data'!$P$3:$P$5000,"W45",'Raw Data'!$R$3:$R$5000,"B")+SUMIFS('Raw Data'!$N$3:$N$5000,'Raw Data'!$P$3:$P$5000,"W45",'Raw Data'!$R$3:$R$5000,"C")+SUMIFS('Raw Data'!$N$3:$N$5000,'Raw Data'!$P$3:$P$5000,"W45",'Raw Data'!$R$3:$R$5000,"D")</f>
        <v>0</v>
      </c>
      <c r="EF10" s="17">
        <f>SUMIFS('Raw Data'!$E$3:$E$5000,'Raw Data'!$P$3:$P$5000,"W45",'Raw Data'!$R$3:$R$5000,"B")+SUMIFS('Raw Data'!$E$3:$E$5000,'Raw Data'!$P$3:$P$5000,"W45",'Raw Data'!$R$3:$R$5000,"C")+SUMIFS('Raw Data'!$E$3:$E$5000,'Raw Data'!$P$3:$P$5000,"W45",'Raw Data'!$R$3:$R$5000,"D")</f>
        <v>0</v>
      </c>
      <c r="EG10" s="16">
        <f>SUMIFS('Raw Data'!$M$3:$M$5000,'Raw Data'!$P$3:$P$5000,"W46",'Raw Data'!$R$3:$R$5000,"B")+SUMIFS('Raw Data'!$M$3:$M$5000,'Raw Data'!$P$3:$P$5000,"W46",'Raw Data'!$R$3:$R$5000,"C")+SUMIFS('Raw Data'!$M$3:$M$5000,'Raw Data'!$P$3:$P$5000,"W46",'Raw Data'!$R$3:$R$5000,"D")</f>
        <v>0</v>
      </c>
      <c r="EH10" s="16">
        <f>SUMIFS('Raw Data'!$N$3:$N$5000,'Raw Data'!$P$3:$P$5000,"W46",'Raw Data'!$R$3:$R$5000,"B")+SUMIFS('Raw Data'!$N$3:$N$5000,'Raw Data'!$P$3:$P$5000,"W46",'Raw Data'!$R$3:$R$5000,"C")+SUMIFS('Raw Data'!$N$3:$N$5000,'Raw Data'!$P$3:$P$5000,"W46",'Raw Data'!$R$3:$R$5000,"D")</f>
        <v>0</v>
      </c>
      <c r="EI10" s="17">
        <f>SUMIFS('Raw Data'!$E$3:$E$5000,'Raw Data'!$P$3:$P$5000,"W46",'Raw Data'!$R$3:$R$5000,"B")+SUMIFS('Raw Data'!$E$3:$E$5000,'Raw Data'!$P$3:$P$5000,"W46",'Raw Data'!$R$3:$R$5000,"C")+SUMIFS('Raw Data'!$E$3:$E$5000,'Raw Data'!$P$3:$P$5000,"W46",'Raw Data'!$R$3:$R$5000,"D")</f>
        <v>0</v>
      </c>
      <c r="EJ10" s="16">
        <f>SUMIFS('Raw Data'!$M$3:$M$5000,'Raw Data'!$P$3:$P$5000,"W47",'Raw Data'!$R$3:$R$5000,"B")+SUMIFS('Raw Data'!$M$3:$M$5000,'Raw Data'!$P$3:$P$5000,"W47",'Raw Data'!$R$3:$R$5000,"C")+SUMIFS('Raw Data'!$M$3:$M$5000,'Raw Data'!$P$3:$P$5000,"W47",'Raw Data'!$R$3:$R$5000,"D")</f>
        <v>0</v>
      </c>
      <c r="EK10" s="16">
        <f>SUMIFS('Raw Data'!$N$3:$N$5000,'Raw Data'!$P$3:$P$5000,"W47",'Raw Data'!$R$3:$R$5000,"B")+SUMIFS('Raw Data'!$N$3:$N$5000,'Raw Data'!$P$3:$P$5000,"W47",'Raw Data'!$R$3:$R$5000,"C")+SUMIFS('Raw Data'!$N$3:$N$5000,'Raw Data'!$P$3:$P$5000,"W47",'Raw Data'!$R$3:$R$5000,"D")</f>
        <v>0</v>
      </c>
      <c r="EL10" s="17">
        <f>SUMIFS('Raw Data'!$E$3:$E$5000,'Raw Data'!$P$3:$P$5000,"W47",'Raw Data'!$R$3:$R$5000,"B")+SUMIFS('Raw Data'!$E$3:$E$5000,'Raw Data'!$P$3:$P$5000,"W47",'Raw Data'!$R$3:$R$5000,"C")+SUMIFS('Raw Data'!$E$3:$E$5000,'Raw Data'!$P$3:$P$5000,"W47",'Raw Data'!$R$3:$R$5000,"D")</f>
        <v>0</v>
      </c>
      <c r="EM10" s="16">
        <f>SUMIFS('Raw Data'!$M$3:$M$5000,'Raw Data'!$P$3:$P$5000,"W48",'Raw Data'!$R$3:$R$5000,"B")+SUMIFS('Raw Data'!$M$3:$M$5000,'Raw Data'!$P$3:$P$5000,"W48",'Raw Data'!$R$3:$R$5000,"C")+SUMIFS('Raw Data'!$M$3:$M$5000,'Raw Data'!$P$3:$P$5000,"W48",'Raw Data'!$R$3:$R$5000,"D")</f>
        <v>0</v>
      </c>
      <c r="EN10" s="16">
        <f>SUMIFS('Raw Data'!$N$3:$N$5000,'Raw Data'!$P$3:$P$5000,"W48",'Raw Data'!$R$3:$R$5000,"B")+SUMIFS('Raw Data'!$N$3:$N$5000,'Raw Data'!$P$3:$P$5000,"W48",'Raw Data'!$R$3:$R$5000,"C")+SUMIFS('Raw Data'!$N$3:$N$5000,'Raw Data'!$P$3:$P$5000,"W48",'Raw Data'!$R$3:$R$5000,"D")</f>
        <v>0</v>
      </c>
      <c r="EO10" s="17">
        <f>SUMIFS('Raw Data'!$E$3:$E$5000,'Raw Data'!$P$3:$P$5000,"W48",'Raw Data'!$R$3:$R$5000,"B")+SUMIFS('Raw Data'!$E$3:$E$5000,'Raw Data'!$P$3:$P$5000,"W48",'Raw Data'!$R$3:$R$5000,"C")+SUMIFS('Raw Data'!$E$3:$E$5000,'Raw Data'!$P$3:$P$5000,"W48",'Raw Data'!$R$3:$R$5000,"D")</f>
        <v>0</v>
      </c>
      <c r="EP10" s="16">
        <f>SUMIFS('Raw Data'!$M$3:$M$5000,'Raw Data'!$P$3:$P$5000,"W49",'Raw Data'!$R$3:$R$5000,"B")+SUMIFS('Raw Data'!$M$3:$M$5000,'Raw Data'!$P$3:$P$5000,"W49",'Raw Data'!$R$3:$R$5000,"C")+SUMIFS('Raw Data'!$M$3:$M$5000,'Raw Data'!$P$3:$P$5000,"W49",'Raw Data'!$R$3:$R$5000,"D")</f>
        <v>0</v>
      </c>
      <c r="EQ10" s="16">
        <f>SUMIFS('Raw Data'!$N$3:$N$5000,'Raw Data'!$P$3:$P$5000,"W49",'Raw Data'!$R$3:$R$5000,"B")+SUMIFS('Raw Data'!$N$3:$N$5000,'Raw Data'!$P$3:$P$5000,"W49",'Raw Data'!$R$3:$R$5000,"C")+SUMIFS('Raw Data'!$N$3:$N$5000,'Raw Data'!$P$3:$P$5000,"W49",'Raw Data'!$R$3:$R$5000,"D")</f>
        <v>0</v>
      </c>
      <c r="ER10" s="17">
        <f>SUMIFS('Raw Data'!$E$3:$E$5000,'Raw Data'!$P$3:$P$5000,"W49",'Raw Data'!$R$3:$R$5000,"B")+SUMIFS('Raw Data'!$E$3:$E$5000,'Raw Data'!$P$3:$P$5000,"W49",'Raw Data'!$R$3:$R$5000,"C")+SUMIFS('Raw Data'!$E$3:$E$5000,'Raw Data'!$P$3:$P$5000,"W49",'Raw Data'!$R$3:$R$5000,"D")</f>
        <v>0</v>
      </c>
      <c r="ES10" s="16">
        <f>SUMIFS('Raw Data'!$M$3:$M$5000,'Raw Data'!$P$3:$P$5000,"W50",'Raw Data'!$R$3:$R$5000,"B")+SUMIFS('Raw Data'!$M$3:$M$5000,'Raw Data'!$P$3:$P$5000,"W50",'Raw Data'!$R$3:$R$5000,"C")+SUMIFS('Raw Data'!$M$3:$M$5000,'Raw Data'!$P$3:$P$5000,"W50",'Raw Data'!$R$3:$R$5000,"D")</f>
        <v>0</v>
      </c>
      <c r="ET10" s="16">
        <f>SUMIFS('Raw Data'!$N$3:$N$5000,'Raw Data'!$P$3:$P$5000,"W50",'Raw Data'!$R$3:$R$5000,"B")+SUMIFS('Raw Data'!$N$3:$N$5000,'Raw Data'!$P$3:$P$5000,"W50",'Raw Data'!$R$3:$R$5000,"C")+SUMIFS('Raw Data'!$N$3:$N$5000,'Raw Data'!$P$3:$P$5000,"W50",'Raw Data'!$R$3:$R$5000,"D")</f>
        <v>0</v>
      </c>
      <c r="EU10" s="17">
        <f>SUMIFS('Raw Data'!$E$3:$E$5000,'Raw Data'!$P$3:$P$5000,"W50",'Raw Data'!$R$3:$R$5000,"B")+SUMIFS('Raw Data'!$E$3:$E$5000,'Raw Data'!$P$3:$P$5000,"W50",'Raw Data'!$R$3:$R$5000,"C")+SUMIFS('Raw Data'!$E$3:$E$5000,'Raw Data'!$P$3:$P$5000,"W50",'Raw Data'!$R$3:$R$5000,"D")</f>
        <v>0</v>
      </c>
      <c r="EV10" s="16">
        <f>SUMIFS('Raw Data'!$M$3:$M$5000,'Raw Data'!$P$3:$P$5000,"W51",'Raw Data'!$R$3:$R$5000,"B")+SUMIFS('Raw Data'!$M$3:$M$5000,'Raw Data'!$P$3:$P$5000,"W51",'Raw Data'!$R$3:$R$5000,"C")+SUMIFS('Raw Data'!$M$3:$M$5000,'Raw Data'!$P$3:$P$5000,"W51",'Raw Data'!$R$3:$R$5000,"D")</f>
        <v>0</v>
      </c>
      <c r="EW10" s="16">
        <f>SUMIFS('Raw Data'!$N$3:$N$5000,'Raw Data'!$P$3:$P$5000,"W51",'Raw Data'!$R$3:$R$5000,"B")+SUMIFS('Raw Data'!$N$3:$N$5000,'Raw Data'!$P$3:$P$5000,"W51",'Raw Data'!$R$3:$R$5000,"C")+SUMIFS('Raw Data'!$N$3:$N$5000,'Raw Data'!$P$3:$P$5000,"W51",'Raw Data'!$R$3:$R$5000,"D")</f>
        <v>0</v>
      </c>
      <c r="EX10" s="17">
        <f>SUMIFS('Raw Data'!$E$3:$E$5000,'Raw Data'!$P$3:$P$5000,"W51",'Raw Data'!$R$3:$R$5000,"B")+SUMIFS('Raw Data'!$E$3:$E$5000,'Raw Data'!$P$3:$P$5000,"W51",'Raw Data'!$R$3:$R$5000,"C")+SUMIFS('Raw Data'!$E$3:$E$5000,'Raw Data'!$P$3:$P$5000,"W51",'Raw Data'!$R$3:$R$5000,"D")</f>
        <v>0</v>
      </c>
      <c r="EY10" s="16">
        <f>SUMIFS('Raw Data'!$M$3:$M$5000,'Raw Data'!$P$3:$P$5000,"W52",'Raw Data'!$R$3:$R$5000,"B")+SUMIFS('Raw Data'!$M$3:$M$5000,'Raw Data'!$P$3:$P$5000,"W52",'Raw Data'!$R$3:$R$5000,"C")+SUMIFS('Raw Data'!$M$3:$M$5000,'Raw Data'!$P$3:$P$5000,"W52",'Raw Data'!$R$3:$R$5000,"D")</f>
        <v>0</v>
      </c>
      <c r="EZ10" s="16">
        <f>SUMIFS('Raw Data'!$N$3:$N$5000,'Raw Data'!$P$3:$P$5000,"W52",'Raw Data'!$R$3:$R$5000,"B")+SUMIFS('Raw Data'!$N$3:$N$5000,'Raw Data'!$P$3:$P$5000,"W52",'Raw Data'!$R$3:$R$5000,"C")+SUMIFS('Raw Data'!$N$3:$N$5000,'Raw Data'!$P$3:$P$5000,"W52",'Raw Data'!$R$3:$R$5000,"D")</f>
        <v>0</v>
      </c>
      <c r="FA10" s="17">
        <f>SUMIFS('Raw Data'!$E$3:$E$5000,'Raw Data'!$P$3:$P$5000,"W52",'Raw Data'!$R$3:$R$5000,"B")+SUMIFS('Raw Data'!$E$3:$E$5000,'Raw Data'!$P$3:$P$5000,"W52",'Raw Data'!$R$3:$R$5000,"C")+SUMIFS('Raw Data'!$E$3:$E$5000,'Raw Data'!$P$3:$P$5000,"W52",'Raw Data'!$R$3:$R$5000,"D")</f>
        <v>0</v>
      </c>
      <c r="FB10" s="6">
        <f t="shared" ref="FB10:FD10" si="4">B10+E10+H10+K10+N10+Q10+T10+W10+Z10+AC10+AF10+AI10+AL10+AO10+AR10+AU10+AX10+BA10+BD10+BG10+BJ10+BM10+BP10+BS10+BV10+BY10+CB10+CE10+CH10+CK10+CN10+CQ10+CT10+CW10+CZ10+DC10+DF10+DI10+DL10+DO10+DR10+DU10+DX10+EA10+ED10+EG10+EJ10+EM10+EP10+ES10+EV10+EY10</f>
        <v>0</v>
      </c>
      <c r="FC10" s="6">
        <f t="shared" si="4"/>
        <v>0</v>
      </c>
      <c r="FD10" s="7">
        <f t="shared" si="4"/>
        <v>0</v>
      </c>
    </row>
    <row r="11" spans="1:160" ht="19.5" customHeight="1" x14ac:dyDescent="0.3">
      <c r="A11" s="15" t="s">
        <v>64</v>
      </c>
      <c r="B11" s="16">
        <f>SUMIFS('Raw Data'!$M$3:$M$5000,'Raw Data'!$P$3:$P$5000,"W1",'Raw Data'!$R$3:$R$5000,"")</f>
        <v>0</v>
      </c>
      <c r="C11" s="16">
        <f>SUMIFS('Raw Data'!$N$3:$N$5000,'Raw Data'!$P$3:$P$5000,"W1",'Raw Data'!$R$3:$R$5000,"")</f>
        <v>0</v>
      </c>
      <c r="D11" s="17">
        <f>SUMIFS('Raw Data'!$E$3:$E$5000,'Raw Data'!$P$3:$P$5000,"W1",'Raw Data'!$R$3:$R$5000,"")</f>
        <v>0</v>
      </c>
      <c r="E11" s="16">
        <f>SUMIFS('Raw Data'!$M$3:$M$5000,'Raw Data'!$P$3:$P$5000,"W2",'Raw Data'!$R$3:$R$5000,"")</f>
        <v>0</v>
      </c>
      <c r="F11" s="16">
        <f>SUMIFS('Raw Data'!$N$3:$N$5000,'Raw Data'!$P$3:$P$5000,"W2",'Raw Data'!$R$3:$R$5000,"")</f>
        <v>0</v>
      </c>
      <c r="G11" s="17">
        <f>SUMIFS('Raw Data'!$E$3:$E$5000,'Raw Data'!$P$3:$P$5000,"W2",'Raw Data'!$R$3:$R$5000,"")</f>
        <v>0</v>
      </c>
      <c r="H11" s="16">
        <f>SUMIFS('Raw Data'!$M$3:$M$5000,'Raw Data'!$P$3:$P$5000,"W3",'Raw Data'!$R$3:$R$5000,"")</f>
        <v>0</v>
      </c>
      <c r="I11" s="16">
        <f>SUMIFS('Raw Data'!$N$3:$N$5000,'Raw Data'!$P$3:$P$5000,"W3",'Raw Data'!$R$3:$R$5000,"")</f>
        <v>0</v>
      </c>
      <c r="J11" s="17">
        <f>SUMIFS('Raw Data'!$E$3:$E$5000,'Raw Data'!$P$3:$P$5000,"W3",'Raw Data'!$R$3:$R$5000,"")</f>
        <v>0</v>
      </c>
      <c r="K11" s="16">
        <f>SUMIFS('Raw Data'!$M$3:$M$5000,'Raw Data'!$P$3:$P$5000,"W4",'Raw Data'!$R$3:$R$5000,"")</f>
        <v>0</v>
      </c>
      <c r="L11" s="16">
        <f>SUMIFS('Raw Data'!$N$3:$N$5000,'Raw Data'!$P$3:$P$5000,"W4",'Raw Data'!$R$3:$R$5000,"")</f>
        <v>0</v>
      </c>
      <c r="M11" s="17">
        <f>SUMIFS('Raw Data'!$E$3:$E$5000,'Raw Data'!$P$3:$P$5000,"W4",'Raw Data'!$R$3:$R$5000,"")</f>
        <v>0</v>
      </c>
      <c r="N11" s="16">
        <f>SUMIFS('Raw Data'!$M$3:$M$5000,'Raw Data'!$P$3:$P$5000,"W5",'Raw Data'!$R$3:$R$5000,"")</f>
        <v>0</v>
      </c>
      <c r="O11" s="16">
        <f>SUMIFS('Raw Data'!$N$3:$N$5000,'Raw Data'!$P$3:$P$5000,"W5",'Raw Data'!$R$3:$R$5000,"")</f>
        <v>0</v>
      </c>
      <c r="P11" s="17">
        <f>SUMIFS('Raw Data'!$E$3:$E$5000,'Raw Data'!$P$3:$P$5000,"W5",'Raw Data'!$R$3:$R$5000,"")</f>
        <v>0</v>
      </c>
      <c r="Q11" s="16">
        <f>SUMIFS('Raw Data'!$M$3:$M$5000,'Raw Data'!$P$3:$P$5000,"W6",'Raw Data'!$R$3:$R$5000,"")</f>
        <v>0</v>
      </c>
      <c r="R11" s="16">
        <f>SUMIFS('Raw Data'!$N$3:$N$5000,'Raw Data'!$P$3:$P$5000,"W6",'Raw Data'!$R$3:$R$5000,"")</f>
        <v>0</v>
      </c>
      <c r="S11" s="17">
        <f>SUMIFS('Raw Data'!$E$3:$E$5000,'Raw Data'!$P$3:$P$5000,"W6",'Raw Data'!$R$3:$R$5000,"")</f>
        <v>0</v>
      </c>
      <c r="T11" s="16">
        <f>SUMIFS('Raw Data'!$M$3:$M$5000,'Raw Data'!$P$3:$P$5000,"W7",'Raw Data'!$R$3:$R$5000,"")</f>
        <v>0</v>
      </c>
      <c r="U11" s="16">
        <f>SUMIFS('Raw Data'!$N$3:$N$5000,'Raw Data'!$P$3:$P$5000,"W7",'Raw Data'!$R$3:$R$5000,"")</f>
        <v>0</v>
      </c>
      <c r="V11" s="17">
        <f>SUMIFS('Raw Data'!$E$3:$E$5000,'Raw Data'!$P$3:$P$5000,"W7",'Raw Data'!$R$3:$R$5000,"")</f>
        <v>0</v>
      </c>
      <c r="W11" s="16">
        <f>SUMIFS('Raw Data'!$M$3:$M$5000,'Raw Data'!$P$3:$P$5000,"W8",'Raw Data'!$R$3:$R$5000,"")</f>
        <v>0</v>
      </c>
      <c r="X11" s="16">
        <f>SUMIFS('Raw Data'!$N$3:$N$5000,'Raw Data'!$P$3:$P$5000,"W8",'Raw Data'!$R$3:$R$5000,"")</f>
        <v>0</v>
      </c>
      <c r="Y11" s="17">
        <f>SUMIFS('Raw Data'!$E$3:$E$5000,'Raw Data'!$P$3:$P$5000,"W8",'Raw Data'!$R$3:$R$5000,"")</f>
        <v>0</v>
      </c>
      <c r="Z11" s="16">
        <f>SUMIFS('Raw Data'!$M$3:$M$5000,'Raw Data'!$P$3:$P$5000,"W9",'Raw Data'!$R$3:$R$5000,"")</f>
        <v>1244</v>
      </c>
      <c r="AA11" s="16">
        <f>SUMIFS('Raw Data'!$N$3:$N$5000,'Raw Data'!$P$3:$P$5000,"W9",'Raw Data'!$R$3:$R$5000,"")</f>
        <v>2533</v>
      </c>
      <c r="AB11" s="17">
        <f>SUMIFS('Raw Data'!$E$3:$E$5000,'Raw Data'!$P$3:$P$5000,"W9",'Raw Data'!$R$3:$R$5000,"")</f>
        <v>4</v>
      </c>
      <c r="AC11" s="16">
        <f>SUMIFS('Raw Data'!$M$3:$M$5000,'Raw Data'!$P$3:$P$5000,"W10",'Raw Data'!$R$3:$R$5000,"")</f>
        <v>1074.72</v>
      </c>
      <c r="AD11" s="16">
        <f>SUMIFS('Raw Data'!$N$3:$N$5000,'Raw Data'!$P$3:$P$5000,"W10",'Raw Data'!$R$3:$R$5000,"")</f>
        <v>2411.7600000000007</v>
      </c>
      <c r="AE11" s="17">
        <f>SUMIFS('Raw Data'!$E$3:$E$5000,'Raw Data'!$P$3:$P$5000,"W10",'Raw Data'!$R$3:$R$5000,"")</f>
        <v>13</v>
      </c>
      <c r="AF11" s="16">
        <f>SUMIFS('Raw Data'!$M$3:$M$5000,'Raw Data'!$P$3:$P$5000,"W11",'Raw Data'!$R$3:$R$5000,"")</f>
        <v>4279</v>
      </c>
      <c r="AG11" s="16">
        <f>SUMIFS('Raw Data'!$N$3:$N$5000,'Raw Data'!$P$3:$P$5000,"W11",'Raw Data'!$R$3:$R$5000,"")</f>
        <v>9238</v>
      </c>
      <c r="AH11" s="17">
        <f>SUMIFS('Raw Data'!$E$3:$E$5000,'Raw Data'!$P$3:$P$5000,"W11",'Raw Data'!$R$3:$R$5000,"")</f>
        <v>77</v>
      </c>
      <c r="AI11" s="16">
        <f>SUMIFS('Raw Data'!$M$3:$M$5000,'Raw Data'!$P$3:$P$5000,"W12",'Raw Data'!$R$3:$R$5000,"")</f>
        <v>0</v>
      </c>
      <c r="AJ11" s="16">
        <f>SUMIFS('Raw Data'!$N$3:$N$5000,'Raw Data'!$P$3:$P$5000,"W12",'Raw Data'!$R$3:$R$5000,"")</f>
        <v>0</v>
      </c>
      <c r="AK11" s="17">
        <f>SUMIFS('Raw Data'!$E$3:$E$5000,'Raw Data'!$P$3:$P$5000,"W12",'Raw Data'!$R$3:$R$5000,"")</f>
        <v>0</v>
      </c>
      <c r="AL11" s="16">
        <f>SUMIFS('Raw Data'!$M$3:$M$5000,'Raw Data'!$P$3:$P$5000,"W13",'Raw Data'!$R$3:$R$5000,"")</f>
        <v>0</v>
      </c>
      <c r="AM11" s="16">
        <f>SUMIFS('Raw Data'!$N$3:$N$5000,'Raw Data'!$P$3:$P$5000,"W13",'Raw Data'!$R$3:$R$5000,"")</f>
        <v>0</v>
      </c>
      <c r="AN11" s="17">
        <f>SUMIFS('Raw Data'!$E$3:$E$5000,'Raw Data'!$P$3:$P$5000,"W13",'Raw Data'!$R$3:$R$5000,"")</f>
        <v>0</v>
      </c>
      <c r="AO11" s="16">
        <f>SUMIFS('Raw Data'!$M$3:$M$5000,'Raw Data'!$P$3:$P$5000,"W14",'Raw Data'!$R$3:$R$5000,"")</f>
        <v>0</v>
      </c>
      <c r="AP11" s="16">
        <f>SUMIFS('Raw Data'!$N$3:$N$5000,'Raw Data'!$P$3:$P$5000,"W14",'Raw Data'!$R$3:$R$5000,"")</f>
        <v>0</v>
      </c>
      <c r="AQ11" s="17">
        <f>SUMIFS('Raw Data'!$E$3:$E$5000,'Raw Data'!$P$3:$P$5000,"W14",'Raw Data'!$R$3:$R$5000,"")</f>
        <v>0</v>
      </c>
      <c r="AR11" s="16">
        <f>SUMIFS('Raw Data'!$M$3:$M$5000,'Raw Data'!$P$3:$P$5000,"W15",'Raw Data'!$R$3:$R$5000,"")</f>
        <v>0</v>
      </c>
      <c r="AS11" s="16">
        <f>SUMIFS('Raw Data'!$N$3:$N$5000,'Raw Data'!$P$3:$P$5000,"W15",'Raw Data'!$R$3:$R$5000,"")</f>
        <v>0</v>
      </c>
      <c r="AT11" s="17">
        <f>SUMIFS('Raw Data'!$E$3:$E$5000,'Raw Data'!$P$3:$P$5000,"W15",'Raw Data'!$R$3:$R$5000,"")</f>
        <v>0</v>
      </c>
      <c r="AU11" s="16">
        <f>SUMIFS('Raw Data'!$M$3:$M$5000,'Raw Data'!$P$3:$P$5000,"W16",'Raw Data'!$R$3:$R$5000,"")</f>
        <v>0</v>
      </c>
      <c r="AV11" s="16">
        <f>SUMIFS('Raw Data'!$N$3:$N$5000,'Raw Data'!$P$3:$P$5000,"W16",'Raw Data'!$R$3:$R$5000,"")</f>
        <v>0</v>
      </c>
      <c r="AW11" s="17">
        <f>SUMIFS('Raw Data'!$E$3:$E$5000,'Raw Data'!$P$3:$P$5000,"W16",'Raw Data'!$R$3:$R$5000,"")</f>
        <v>0</v>
      </c>
      <c r="AX11" s="16">
        <f>SUMIFS('Raw Data'!$M$3:$M$5000,'Raw Data'!$P$3:$P$5000,"W17",'Raw Data'!$R$3:$R$5000,"")</f>
        <v>0</v>
      </c>
      <c r="AY11" s="16">
        <f>SUMIFS('Raw Data'!$N$3:$N$5000,'Raw Data'!$P$3:$P$5000,"W17",'Raw Data'!$R$3:$R$5000,"")</f>
        <v>0</v>
      </c>
      <c r="AZ11" s="17">
        <f>SUMIFS('Raw Data'!$E$3:$E$5000,'Raw Data'!$P$3:$P$5000,"W17",'Raw Data'!$R$3:$R$5000,"")</f>
        <v>0</v>
      </c>
      <c r="BA11" s="16">
        <f>SUMIFS('Raw Data'!$M$3:$M$5000,'Raw Data'!$P$3:$P$5000,"W18",'Raw Data'!$R$3:$R$5000,"")</f>
        <v>0</v>
      </c>
      <c r="BB11" s="16">
        <f>SUMIFS('Raw Data'!$N$3:$N$5000,'Raw Data'!$P$3:$P$5000,"W18",'Raw Data'!$R$3:$R$5000,"")</f>
        <v>0</v>
      </c>
      <c r="BC11" s="17">
        <f>SUMIFS('Raw Data'!$E$3:$E$5000,'Raw Data'!$P$3:$P$5000,"W18",'Raw Data'!$R$3:$R$5000,"")</f>
        <v>0</v>
      </c>
      <c r="BD11" s="16">
        <f>SUMIFS('Raw Data'!$M$3:$M$5000,'Raw Data'!$P$3:$P$5000,"W19",'Raw Data'!$R$3:$R$5000,"")</f>
        <v>0</v>
      </c>
      <c r="BE11" s="16">
        <f>SUMIFS('Raw Data'!$N$3:$N$5000,'Raw Data'!$P$3:$P$5000,"W19",'Raw Data'!$R$3:$R$5000,"")</f>
        <v>0</v>
      </c>
      <c r="BF11" s="17">
        <f>SUMIFS('Raw Data'!$E$3:$E$5000,'Raw Data'!$P$3:$P$5000,"W19",'Raw Data'!$R$3:$R$5000,"")</f>
        <v>0</v>
      </c>
      <c r="BG11" s="16">
        <f>SUMIFS('Raw Data'!$M$3:$M$5000,'Raw Data'!$P$3:$P$5000,"W20",'Raw Data'!$R$3:$R$5000,"")</f>
        <v>0</v>
      </c>
      <c r="BH11" s="16">
        <f>SUMIFS('Raw Data'!$N$3:$N$5000,'Raw Data'!$P$3:$P$5000,"W20",'Raw Data'!$R$3:$R$5000,"")</f>
        <v>0</v>
      </c>
      <c r="BI11" s="17">
        <f>SUMIFS('Raw Data'!$E$3:$E$5000,'Raw Data'!$P$3:$P$5000,"W20",'Raw Data'!$R$3:$R$5000,"")</f>
        <v>0</v>
      </c>
      <c r="BJ11" s="16">
        <f>SUMIFS('Raw Data'!$M$3:$M$5000,'Raw Data'!$P$3:$P$5000,"W21",'Raw Data'!$R$3:$R$5000,"")</f>
        <v>0</v>
      </c>
      <c r="BK11" s="16">
        <f>SUMIFS('Raw Data'!$N$3:$N$5000,'Raw Data'!$P$3:$P$5000,"W21",'Raw Data'!$R$3:$R$5000,"")</f>
        <v>0</v>
      </c>
      <c r="BL11" s="17">
        <f>SUMIFS('Raw Data'!$E$3:$E$5000,'Raw Data'!$P$3:$P$5000,"W21",'Raw Data'!$R$3:$R$5000,"")</f>
        <v>0</v>
      </c>
      <c r="BM11" s="16">
        <f>SUMIFS('Raw Data'!$M$3:$M$5000,'Raw Data'!$P$3:$P$5000,"W22",'Raw Data'!$R$3:$R$5000,"")</f>
        <v>0</v>
      </c>
      <c r="BN11" s="16">
        <f>SUMIFS('Raw Data'!$N$3:$N$5000,'Raw Data'!$P$3:$P$5000,"W22",'Raw Data'!$R$3:$R$5000,"")</f>
        <v>0</v>
      </c>
      <c r="BO11" s="17">
        <f>SUMIFS('Raw Data'!$E$3:$E$5000,'Raw Data'!$P$3:$P$5000,"W22",'Raw Data'!$R$3:$R$5000,"")</f>
        <v>0</v>
      </c>
      <c r="BP11" s="16">
        <f>SUMIFS('Raw Data'!$M$3:$M$5000,'Raw Data'!$P$3:$P$5000,"W23",'Raw Data'!$R$3:$R$5000,"")</f>
        <v>0</v>
      </c>
      <c r="BQ11" s="16">
        <f>SUMIFS('Raw Data'!$N$3:$N$5000,'Raw Data'!$P$3:$P$5000,"W23",'Raw Data'!$R$3:$R$5000,"")</f>
        <v>0</v>
      </c>
      <c r="BR11" s="17">
        <f>SUMIFS('Raw Data'!$E$3:$E$5000,'Raw Data'!$P$3:$P$5000,"W23",'Raw Data'!$R$3:$R$5000,"")</f>
        <v>0</v>
      </c>
      <c r="BS11" s="16">
        <f>SUMIFS('Raw Data'!$M$3:$M$5000,'Raw Data'!$P$3:$P$5000,"W24",'Raw Data'!$R$3:$R$5000,"")</f>
        <v>0</v>
      </c>
      <c r="BT11" s="16">
        <f>SUMIFS('Raw Data'!$N$3:$N$5000,'Raw Data'!$P$3:$P$5000,"W24",'Raw Data'!$R$3:$R$5000,"")</f>
        <v>0</v>
      </c>
      <c r="BU11" s="17">
        <f>SUMIFS('Raw Data'!$E$3:$E$5000,'Raw Data'!$P$3:$P$5000,"W24",'Raw Data'!$R$3:$R$5000,"")</f>
        <v>0</v>
      </c>
      <c r="BV11" s="16">
        <f>SUMIFS('Raw Data'!$M$3:$M$5000,'Raw Data'!$P$3:$P$5000,"W25",'Raw Data'!$R$3:$R$5000,"")</f>
        <v>0</v>
      </c>
      <c r="BW11" s="16">
        <f>SUMIFS('Raw Data'!$N$3:$N$5000,'Raw Data'!$P$3:$P$5000,"W25",'Raw Data'!$R$3:$R$5000,"")</f>
        <v>0</v>
      </c>
      <c r="BX11" s="17">
        <f>SUMIFS('Raw Data'!$E$3:$E$5000,'Raw Data'!$P$3:$P$5000,"W25",'Raw Data'!$R$3:$R$5000,"")</f>
        <v>0</v>
      </c>
      <c r="BY11" s="16">
        <f>SUMIFS('Raw Data'!$M$3:$M$5000,'Raw Data'!$P$3:$P$5000,"W26",'Raw Data'!$R$3:$R$5000,"")</f>
        <v>0</v>
      </c>
      <c r="BZ11" s="16">
        <f>SUMIFS('Raw Data'!$N$3:$N$5000,'Raw Data'!$P$3:$P$5000,"W26",'Raw Data'!$R$3:$R$5000,"")</f>
        <v>0</v>
      </c>
      <c r="CA11" s="17">
        <f>SUMIFS('Raw Data'!$E$3:$E$5000,'Raw Data'!$P$3:$P$5000,"W26",'Raw Data'!$R$3:$R$5000,"")</f>
        <v>0</v>
      </c>
      <c r="CB11" s="16">
        <f>SUMIFS('Raw Data'!$M$3:$M$5000,'Raw Data'!$P$3:$P$5000,"W27",'Raw Data'!$R$3:$R$5000,"")</f>
        <v>0</v>
      </c>
      <c r="CC11" s="16">
        <f>SUMIFS('Raw Data'!$N$3:$N$5000,'Raw Data'!$P$3:$P$5000,"W27",'Raw Data'!$R$3:$R$5000,"")</f>
        <v>0</v>
      </c>
      <c r="CD11" s="17">
        <f>SUMIFS('Raw Data'!$E$3:$E$5000,'Raw Data'!$P$3:$P$5000,"W27",'Raw Data'!$R$3:$R$5000,"")</f>
        <v>0</v>
      </c>
      <c r="CE11" s="16">
        <f>SUMIFS('Raw Data'!$M$3:$M$5000,'Raw Data'!$P$3:$P$5000,"W28",'Raw Data'!$R$3:$R$5000,"")</f>
        <v>0</v>
      </c>
      <c r="CF11" s="16">
        <f>SUMIFS('Raw Data'!$N$3:$N$5000,'Raw Data'!$P$3:$P$5000,"W28",'Raw Data'!$R$3:$R$5000,"")</f>
        <v>0</v>
      </c>
      <c r="CG11" s="17">
        <f>SUMIFS('Raw Data'!$E$3:$E$5000,'Raw Data'!$P$3:$P$5000,"W28",'Raw Data'!$R$3:$R$5000,"")</f>
        <v>0</v>
      </c>
      <c r="CH11" s="16">
        <f>SUMIFS('Raw Data'!$M$3:$M$5000,'Raw Data'!$P$3:$P$5000,"W29",'Raw Data'!$R$3:$R$5000,"")</f>
        <v>0</v>
      </c>
      <c r="CI11" s="16">
        <f>SUMIFS('Raw Data'!$N$3:$N$5000,'Raw Data'!$P$3:$P$5000,"W29",'Raw Data'!$R$3:$R$5000,"")</f>
        <v>0</v>
      </c>
      <c r="CJ11" s="17">
        <f>SUMIFS('Raw Data'!$E$3:$E$5000,'Raw Data'!$P$3:$P$5000,"W29",'Raw Data'!$R$3:$R$5000,"")</f>
        <v>0</v>
      </c>
      <c r="CK11" s="16">
        <f>SUMIFS('Raw Data'!$M$3:$M$5000,'Raw Data'!$P$3:$P$5000,"W30",'Raw Data'!$R$3:$R$5000,"")</f>
        <v>0</v>
      </c>
      <c r="CL11" s="16">
        <f>SUMIFS('Raw Data'!$N$3:$N$5000,'Raw Data'!$P$3:$P$5000,"W30",'Raw Data'!$R$3:$R$5000,"")</f>
        <v>0</v>
      </c>
      <c r="CM11" s="17">
        <f>SUMIFS('Raw Data'!$E$3:$E$5000,'Raw Data'!$P$3:$P$5000,"W30",'Raw Data'!$R$3:$R$5000,"")</f>
        <v>0</v>
      </c>
      <c r="CN11" s="16">
        <f>SUMIFS('Raw Data'!$M$3:$M$5000,'Raw Data'!$P$3:$P$5000,"W31",'Raw Data'!$R$3:$R$5000,"")</f>
        <v>0</v>
      </c>
      <c r="CO11" s="16">
        <f>SUMIFS('Raw Data'!$N$3:$N$5000,'Raw Data'!$P$3:$P$5000,"W31",'Raw Data'!$R$3:$R$5000,"")</f>
        <v>0</v>
      </c>
      <c r="CP11" s="17">
        <f>SUMIFS('Raw Data'!$E$3:$E$5000,'Raw Data'!$P$3:$P$5000,"W31",'Raw Data'!$R$3:$R$5000,"")</f>
        <v>0</v>
      </c>
      <c r="CQ11" s="16">
        <f>SUMIFS('Raw Data'!$M$3:$M$5000,'Raw Data'!$P$3:$P$5000,"W32",'Raw Data'!$R$3:$R$5000,"")</f>
        <v>0</v>
      </c>
      <c r="CR11" s="16">
        <f>SUMIFS('Raw Data'!$N$3:$N$5000,'Raw Data'!$P$3:$P$5000,"W32",'Raw Data'!$R$3:$R$5000,"")</f>
        <v>0</v>
      </c>
      <c r="CS11" s="17">
        <f>SUMIFS('Raw Data'!$E$3:$E$5000,'Raw Data'!$P$3:$P$5000,"W32",'Raw Data'!$R$3:$R$5000,"")</f>
        <v>0</v>
      </c>
      <c r="CT11" s="16">
        <f>SUMIFS('Raw Data'!$M$3:$M$5000,'Raw Data'!$P$3:$P$5000,"W33",'Raw Data'!$R$3:$R$5000,"")</f>
        <v>0</v>
      </c>
      <c r="CU11" s="16">
        <f>SUMIFS('Raw Data'!$N$3:$N$5000,'Raw Data'!$P$3:$P$5000,"W33",'Raw Data'!$R$3:$R$5000,"")</f>
        <v>0</v>
      </c>
      <c r="CV11" s="17">
        <f>SUMIFS('Raw Data'!$E$3:$E$5000,'Raw Data'!$P$3:$P$5000,"W33",'Raw Data'!$R$3:$R$5000,"")</f>
        <v>0</v>
      </c>
      <c r="CW11" s="16">
        <f>SUMIFS('Raw Data'!$M$3:$M$5000,'Raw Data'!$P$3:$P$5000,"W34",'Raw Data'!$R$3:$R$5000,"")</f>
        <v>0</v>
      </c>
      <c r="CX11" s="16">
        <f>SUMIFS('Raw Data'!$N$3:$N$5000,'Raw Data'!$P$3:$P$5000,"W34",'Raw Data'!$R$3:$R$5000,"")</f>
        <v>0</v>
      </c>
      <c r="CY11" s="17">
        <f>SUMIFS('Raw Data'!$E$3:$E$5000,'Raw Data'!$P$3:$P$5000,"W34",'Raw Data'!$R$3:$R$5000,"")</f>
        <v>0</v>
      </c>
      <c r="CZ11" s="16">
        <f>SUMIFS('Raw Data'!$M$3:$M$5000,'Raw Data'!$P$3:$P$5000,"W35",'Raw Data'!$R$3:$R$5000,"")</f>
        <v>0</v>
      </c>
      <c r="DA11" s="16">
        <f>SUMIFS('Raw Data'!$N$3:$N$5000,'Raw Data'!$P$3:$P$5000,"W35",'Raw Data'!$R$3:$R$5000,"")</f>
        <v>0</v>
      </c>
      <c r="DB11" s="17">
        <f>SUMIFS('Raw Data'!$E$3:$E$5000,'Raw Data'!$P$3:$P$5000,"W35",'Raw Data'!$R$3:$R$5000,"")</f>
        <v>0</v>
      </c>
      <c r="DC11" s="16">
        <f>SUMIFS('Raw Data'!$M$3:$M$5000,'Raw Data'!$P$3:$P$5000,"W36",'Raw Data'!$R$3:$R$5000,"")</f>
        <v>0</v>
      </c>
      <c r="DD11" s="16">
        <f>SUMIFS('Raw Data'!$N$3:$N$5000,'Raw Data'!$P$3:$P$5000,"W36",'Raw Data'!$R$3:$R$5000,"")</f>
        <v>0</v>
      </c>
      <c r="DE11" s="17">
        <f>SUMIFS('Raw Data'!$E$3:$E$5000,'Raw Data'!$P$3:$P$5000,"W36",'Raw Data'!$R$3:$R$5000,"")</f>
        <v>0</v>
      </c>
      <c r="DF11" s="16">
        <f>SUMIFS('Raw Data'!$M$3:$M$5000,'Raw Data'!$P$3:$P$5000,"W37",'Raw Data'!$R$3:$R$5000,"")</f>
        <v>0</v>
      </c>
      <c r="DG11" s="16">
        <f>SUMIFS('Raw Data'!$N$3:$N$5000,'Raw Data'!$P$3:$P$5000,"W37",'Raw Data'!$R$3:$R$5000,"")</f>
        <v>0</v>
      </c>
      <c r="DH11" s="17">
        <f>SUMIFS('Raw Data'!$E$3:$E$5000,'Raw Data'!$P$3:$P$5000,"W37",'Raw Data'!$R$3:$R$5000,"")</f>
        <v>0</v>
      </c>
      <c r="DI11" s="16">
        <f>SUMIFS('Raw Data'!$M$3:$M$5000,'Raw Data'!$P$3:$P$5000,"W38",'Raw Data'!$R$3:$R$5000,"")</f>
        <v>0</v>
      </c>
      <c r="DJ11" s="16">
        <f>SUMIFS('Raw Data'!$N$3:$N$5000,'Raw Data'!$P$3:$P$5000,"W38",'Raw Data'!$R$3:$R$5000,"")</f>
        <v>0</v>
      </c>
      <c r="DK11" s="17">
        <f>SUMIFS('Raw Data'!$E$3:$E$5000,'Raw Data'!$P$3:$P$5000,"W38",'Raw Data'!$R$3:$R$5000,"")</f>
        <v>0</v>
      </c>
      <c r="DL11" s="16">
        <f>SUMIFS('Raw Data'!$M$3:$M$5000,'Raw Data'!$P$3:$P$5000,"W39",'Raw Data'!$R$3:$R$5000,"")</f>
        <v>0</v>
      </c>
      <c r="DM11" s="16">
        <f>SUMIFS('Raw Data'!$N$3:$N$5000,'Raw Data'!$P$3:$P$5000,"W39",'Raw Data'!$R$3:$R$5000,"")</f>
        <v>0</v>
      </c>
      <c r="DN11" s="17">
        <f>SUMIFS('Raw Data'!$E$3:$E$5000,'Raw Data'!$P$3:$P$5000,"W39",'Raw Data'!$R$3:$R$5000,"")</f>
        <v>0</v>
      </c>
      <c r="DO11" s="16">
        <f>SUMIFS('Raw Data'!$M$3:$M$5000,'Raw Data'!$P$3:$P$5000,"W40",'Raw Data'!$R$3:$R$5000,"")</f>
        <v>0</v>
      </c>
      <c r="DP11" s="16">
        <f>SUMIFS('Raw Data'!$N$3:$N$5000,'Raw Data'!$P$3:$P$5000,"W40",'Raw Data'!$R$3:$R$5000,"")</f>
        <v>0</v>
      </c>
      <c r="DQ11" s="17">
        <f>SUMIFS('Raw Data'!$E$3:$E$5000,'Raw Data'!$P$3:$P$5000,"W40",'Raw Data'!$R$3:$R$5000,"")</f>
        <v>0</v>
      </c>
      <c r="DR11" s="16">
        <f>SUMIFS('Raw Data'!$M$3:$M$5000,'Raw Data'!$P$3:$P$5000,"W41",'Raw Data'!$R$3:$R$5000,"")</f>
        <v>0</v>
      </c>
      <c r="DS11" s="16">
        <f>SUMIFS('Raw Data'!$N$3:$N$5000,'Raw Data'!$P$3:$P$5000,"W41",'Raw Data'!$R$3:$R$5000,"")</f>
        <v>0</v>
      </c>
      <c r="DT11" s="17">
        <f>SUMIFS('Raw Data'!$E$3:$E$5000,'Raw Data'!$P$3:$P$5000,"W41",'Raw Data'!$R$3:$R$5000,"")</f>
        <v>0</v>
      </c>
      <c r="DU11" s="16">
        <f>SUMIFS('Raw Data'!$M$3:$M$5000,'Raw Data'!$P$3:$P$5000,"W42",'Raw Data'!$R$3:$R$5000,"")</f>
        <v>0</v>
      </c>
      <c r="DV11" s="16">
        <f>SUMIFS('Raw Data'!$N$3:$N$5000,'Raw Data'!$P$3:$P$5000,"W42",'Raw Data'!$R$3:$R$5000,"")</f>
        <v>0</v>
      </c>
      <c r="DW11" s="17">
        <f>SUMIFS('Raw Data'!$E$3:$E$5000,'Raw Data'!$P$3:$P$5000,"W42",'Raw Data'!$R$3:$R$5000,"")</f>
        <v>0</v>
      </c>
      <c r="DX11" s="16">
        <f>SUMIFS('Raw Data'!$M$3:$M$5000,'Raw Data'!$P$3:$P$5000,"W43",'Raw Data'!$R$3:$R$5000,"")</f>
        <v>0</v>
      </c>
      <c r="DY11" s="16">
        <f>SUMIFS('Raw Data'!$N$3:$N$5000,'Raw Data'!$P$3:$P$5000,"W43",'Raw Data'!$R$3:$R$5000,"")</f>
        <v>0</v>
      </c>
      <c r="DZ11" s="17">
        <f>SUMIFS('Raw Data'!$E$3:$E$5000,'Raw Data'!$P$3:$P$5000,"W43",'Raw Data'!$R$3:$R$5000,"")</f>
        <v>0</v>
      </c>
      <c r="EA11" s="16">
        <f>SUMIFS('Raw Data'!$M$3:$M$5000,'Raw Data'!$P$3:$P$5000,"W44",'Raw Data'!$R$3:$R$5000,"")</f>
        <v>0</v>
      </c>
      <c r="EB11" s="16">
        <f>SUMIFS('Raw Data'!$N$3:$N$5000,'Raw Data'!$P$3:$P$5000,"W44",'Raw Data'!$R$3:$R$5000,"")</f>
        <v>0</v>
      </c>
      <c r="EC11" s="17">
        <f>SUMIFS('Raw Data'!$E$3:$E$5000,'Raw Data'!$P$3:$P$5000,"W44",'Raw Data'!$R$3:$R$5000,"")</f>
        <v>0</v>
      </c>
      <c r="ED11" s="16">
        <f>SUMIFS('Raw Data'!$M$3:$M$5000,'Raw Data'!$P$3:$P$5000,"W45",'Raw Data'!$R$3:$R$5000,"")</f>
        <v>0</v>
      </c>
      <c r="EE11" s="16">
        <f>SUMIFS('Raw Data'!$N$3:$N$5000,'Raw Data'!$P$3:$P$5000,"W45",'Raw Data'!$R$3:$R$5000,"")</f>
        <v>0</v>
      </c>
      <c r="EF11" s="17">
        <f>SUMIFS('Raw Data'!$E$3:$E$5000,'Raw Data'!$P$3:$P$5000,"W45",'Raw Data'!$R$3:$R$5000,"")</f>
        <v>0</v>
      </c>
      <c r="EG11" s="16">
        <f>SUMIFS('Raw Data'!$M$3:$M$5000,'Raw Data'!$P$3:$P$5000,"W46",'Raw Data'!$R$3:$R$5000,"")</f>
        <v>0</v>
      </c>
      <c r="EH11" s="16">
        <f>SUMIFS('Raw Data'!$N$3:$N$5000,'Raw Data'!$P$3:$P$5000,"W46",'Raw Data'!$R$3:$R$5000,"")</f>
        <v>0</v>
      </c>
      <c r="EI11" s="17">
        <f>SUMIFS('Raw Data'!$E$3:$E$5000,'Raw Data'!$P$3:$P$5000,"W46",'Raw Data'!$R$3:$R$5000,"")</f>
        <v>0</v>
      </c>
      <c r="EJ11" s="16">
        <f>SUMIFS('Raw Data'!$M$3:$M$5000,'Raw Data'!$P$3:$P$5000,"W47",'Raw Data'!$R$3:$R$5000,"")</f>
        <v>0</v>
      </c>
      <c r="EK11" s="16">
        <f>SUMIFS('Raw Data'!$N$3:$N$5000,'Raw Data'!$P$3:$P$5000,"W47",'Raw Data'!$R$3:$R$5000,"")</f>
        <v>0</v>
      </c>
      <c r="EL11" s="17">
        <f>SUMIFS('Raw Data'!$E$3:$E$5000,'Raw Data'!$P$3:$P$5000,"W47",'Raw Data'!$R$3:$R$5000,"")</f>
        <v>0</v>
      </c>
      <c r="EM11" s="16">
        <f>SUMIFS('Raw Data'!$M$3:$M$5000,'Raw Data'!$P$3:$P$5000,"W48",'Raw Data'!$R$3:$R$5000,"")</f>
        <v>0</v>
      </c>
      <c r="EN11" s="16">
        <f>SUMIFS('Raw Data'!$N$3:$N$5000,'Raw Data'!$P$3:$P$5000,"W48",'Raw Data'!$R$3:$R$5000,"")</f>
        <v>0</v>
      </c>
      <c r="EO11" s="17">
        <f>SUMIFS('Raw Data'!$E$3:$E$5000,'Raw Data'!$P$3:$P$5000,"W48",'Raw Data'!$R$3:$R$5000,"")</f>
        <v>0</v>
      </c>
      <c r="EP11" s="16">
        <f>SUMIFS('Raw Data'!$M$3:$M$5000,'Raw Data'!$P$3:$P$5000,"W49",'Raw Data'!$R$3:$R$5000,"")</f>
        <v>0</v>
      </c>
      <c r="EQ11" s="16">
        <f>SUMIFS('Raw Data'!$N$3:$N$5000,'Raw Data'!$P$3:$P$5000,"W49",'Raw Data'!$R$3:$R$5000,"")</f>
        <v>0</v>
      </c>
      <c r="ER11" s="17">
        <f>SUMIFS('Raw Data'!$E$3:$E$5000,'Raw Data'!$P$3:$P$5000,"W49",'Raw Data'!$R$3:$R$5000,"")</f>
        <v>0</v>
      </c>
      <c r="ES11" s="16">
        <f>SUMIFS('Raw Data'!$M$3:$M$5000,'Raw Data'!$P$3:$P$5000,"W50",'Raw Data'!$R$3:$R$5000,"")</f>
        <v>0</v>
      </c>
      <c r="ET11" s="16">
        <f>SUMIFS('Raw Data'!$N$3:$N$5000,'Raw Data'!$P$3:$P$5000,"W50",'Raw Data'!$R$3:$R$5000,"")</f>
        <v>0</v>
      </c>
      <c r="EU11" s="17">
        <f>SUMIFS('Raw Data'!$E$3:$E$5000,'Raw Data'!$P$3:$P$5000,"W50",'Raw Data'!$R$3:$R$5000,"")</f>
        <v>0</v>
      </c>
      <c r="EV11" s="16">
        <f>SUMIFS('Raw Data'!$M$3:$M$5000,'Raw Data'!$P$3:$P$5000,"W51",'Raw Data'!$R$3:$R$5000,"")</f>
        <v>0</v>
      </c>
      <c r="EW11" s="16">
        <f>SUMIFS('Raw Data'!$N$3:$N$5000,'Raw Data'!$P$3:$P$5000,"W51",'Raw Data'!$R$3:$R$5000,"")</f>
        <v>0</v>
      </c>
      <c r="EX11" s="17">
        <f>SUMIFS('Raw Data'!$E$3:$E$5000,'Raw Data'!$P$3:$P$5000,"W51",'Raw Data'!$R$3:$R$5000,"")</f>
        <v>0</v>
      </c>
      <c r="EY11" s="16">
        <f>SUMIFS('Raw Data'!$M$3:$M$5000,'Raw Data'!$P$3:$P$5000,"W52",'Raw Data'!$R$3:$R$5000,"")</f>
        <v>0</v>
      </c>
      <c r="EZ11" s="16">
        <f>SUMIFS('Raw Data'!$N$3:$N$5000,'Raw Data'!$P$3:$P$5000,"W52",'Raw Data'!$R$3:$R$5000,"")</f>
        <v>0</v>
      </c>
      <c r="FA11" s="17">
        <f>SUMIFS('Raw Data'!$E$3:$E$5000,'Raw Data'!$P$3:$P$5000,"W52",'Raw Data'!$R$3:$R$5000,"")</f>
        <v>0</v>
      </c>
      <c r="FB11" s="6">
        <f t="shared" ref="FB11:FD11" si="5">B11+E11+H11+K11+N11+Q11+T11+W11+Z11+AC11+AF11+AI11+AL11+AO11+AR11+AU11+AX11+BA11+BD11+BG11+BJ11+BM11+BP11+BS11+BV11+BY11+CB11+CE11+CH11+CK11+CN11+CQ11+CT11+CW11+CZ11+DC11+DF11+DI11+DL11+DO11+DR11+DU11+DX11+EA11+ED11+EG11+EJ11+EM11+EP11+ES11+EV11+EY11</f>
        <v>6597.72</v>
      </c>
      <c r="FC11" s="6">
        <f t="shared" si="5"/>
        <v>14182.76</v>
      </c>
      <c r="FD11" s="7">
        <f t="shared" si="5"/>
        <v>94</v>
      </c>
    </row>
    <row r="12" spans="1:160" ht="4.5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</row>
    <row r="13" spans="1:160" ht="19.5" customHeight="1" x14ac:dyDescent="0.3">
      <c r="A13" s="18" t="s">
        <v>65</v>
      </c>
      <c r="B13" s="19">
        <f>SUMIFS('Raw Data'!$M$3:$M$5000,'Raw Data'!$P$3:$P$5000,"W1",'Raw Data'!$H$3:$H$5000,"&lt;&gt;")</f>
        <v>0</v>
      </c>
      <c r="C13" s="19">
        <f>SUMIFS('Raw Data'!$N$3:$N$5000,'Raw Data'!$P$3:$P$5000,"W1",'Raw Data'!$H$3:$H$5000,"&lt;&gt;")</f>
        <v>0</v>
      </c>
      <c r="D13" s="20">
        <f>SUMIFS('Raw Data'!$E$3:$E$5000,'Raw Data'!$P$3:$P$5000,"W1",'Raw Data'!$H$3:$H$5000,"&lt;&gt;")</f>
        <v>0</v>
      </c>
      <c r="E13" s="19">
        <f>SUMIFS('Raw Data'!$M$3:$M$5000,'Raw Data'!$P$3:$P$5000,"W2",'Raw Data'!$H$3:$H$5000,"&lt;&gt;")</f>
        <v>0</v>
      </c>
      <c r="F13" s="19">
        <f>SUMIFS('Raw Data'!$N$3:$N$5000,'Raw Data'!$P$3:$P$5000,"W2",'Raw Data'!$H$3:$H$5000,"&lt;&gt;")</f>
        <v>0</v>
      </c>
      <c r="G13" s="20">
        <f>SUMIFS('Raw Data'!$E$3:$E$5000,'Raw Data'!$P$3:$P$5000,"W2",'Raw Data'!$H$3:$H$5000,"&lt;&gt;")</f>
        <v>0</v>
      </c>
      <c r="H13" s="19">
        <f>SUMIFS('Raw Data'!$M$3:$M$5000,'Raw Data'!$P$3:$P$5000,"W3",'Raw Data'!$H$3:$H$5000,"&lt;&gt;")</f>
        <v>0</v>
      </c>
      <c r="I13" s="19">
        <f>SUMIFS('Raw Data'!$N$3:$N$5000,'Raw Data'!$P$3:$P$5000,"W3",'Raw Data'!$H$3:$H$5000,"&lt;&gt;")</f>
        <v>0</v>
      </c>
      <c r="J13" s="20">
        <f>SUMIFS('Raw Data'!$E$3:$E$5000,'Raw Data'!$P$3:$P$5000,"W3",'Raw Data'!$H$3:$H$5000,"&lt;&gt;")</f>
        <v>0</v>
      </c>
      <c r="K13" s="19">
        <f>SUMIFS('Raw Data'!$M$3:$M$5000,'Raw Data'!$P$3:$P$5000,"W4",'Raw Data'!$H$3:$H$5000,"&lt;&gt;")</f>
        <v>0</v>
      </c>
      <c r="L13" s="19">
        <f>SUMIFS('Raw Data'!$N$3:$N$5000,'Raw Data'!$P$3:$P$5000,"W4",'Raw Data'!$H$3:$H$5000,"&lt;&gt;")</f>
        <v>0</v>
      </c>
      <c r="M13" s="20">
        <f>SUMIFS('Raw Data'!$E$3:$E$5000,'Raw Data'!$P$3:$P$5000,"W4",'Raw Data'!$H$3:$H$5000,"&lt;&gt;")</f>
        <v>0</v>
      </c>
      <c r="N13" s="19">
        <f>SUMIFS('Raw Data'!$M$3:$M$5000,'Raw Data'!$P$3:$P$5000,"W5",'Raw Data'!$H$3:$H$5000,"&lt;&gt;")</f>
        <v>0</v>
      </c>
      <c r="O13" s="19">
        <f>SUMIFS('Raw Data'!$N$3:$N$5000,'Raw Data'!$P$3:$P$5000,"W5",'Raw Data'!$H$3:$H$5000,"&lt;&gt;")</f>
        <v>0</v>
      </c>
      <c r="P13" s="20">
        <f>SUMIFS('Raw Data'!$E$3:$E$5000,'Raw Data'!$P$3:$P$5000,"W5",'Raw Data'!$H$3:$H$5000,"&lt;&gt;")</f>
        <v>0</v>
      </c>
      <c r="Q13" s="19">
        <f>SUMIFS('Raw Data'!$M$3:$M$5000,'Raw Data'!$P$3:$P$5000,"W6",'Raw Data'!$H$3:$H$5000,"&lt;&gt;")</f>
        <v>0</v>
      </c>
      <c r="R13" s="19">
        <f>SUMIFS('Raw Data'!$N$3:$N$5000,'Raw Data'!$P$3:$P$5000,"W6",'Raw Data'!$H$3:$H$5000,"&lt;&gt;")</f>
        <v>0</v>
      </c>
      <c r="S13" s="20">
        <f>SUMIFS('Raw Data'!$E$3:$E$5000,'Raw Data'!$P$3:$P$5000,"W6",'Raw Data'!$H$3:$H$5000,"&lt;&gt;")</f>
        <v>0</v>
      </c>
      <c r="T13" s="19">
        <f>SUMIFS('Raw Data'!$M$3:$M$5000,'Raw Data'!$P$3:$P$5000,"W7",'Raw Data'!$H$3:$H$5000,"&lt;&gt;")</f>
        <v>0</v>
      </c>
      <c r="U13" s="19">
        <f>SUMIFS('Raw Data'!$N$3:$N$5000,'Raw Data'!$P$3:$P$5000,"W7",'Raw Data'!$H$3:$H$5000,"&lt;&gt;")</f>
        <v>0</v>
      </c>
      <c r="V13" s="20">
        <f>SUMIFS('Raw Data'!$E$3:$E$5000,'Raw Data'!$P$3:$P$5000,"W7",'Raw Data'!$H$3:$H$5000,"&lt;&gt;")</f>
        <v>0</v>
      </c>
      <c r="W13" s="19">
        <f>SUMIFS('Raw Data'!$M$3:$M$5000,'Raw Data'!$P$3:$P$5000,"W8",'Raw Data'!$H$3:$H$5000,"&lt;&gt;")</f>
        <v>0</v>
      </c>
      <c r="X13" s="19">
        <f>SUMIFS('Raw Data'!$N$3:$N$5000,'Raw Data'!$P$3:$P$5000,"W8",'Raw Data'!$H$3:$H$5000,"&lt;&gt;")</f>
        <v>0</v>
      </c>
      <c r="Y13" s="20">
        <f>SUMIFS('Raw Data'!$E$3:$E$5000,'Raw Data'!$P$3:$P$5000,"W8",'Raw Data'!$H$3:$H$5000,"&lt;&gt;")</f>
        <v>0</v>
      </c>
      <c r="Z13" s="19">
        <f>SUMIFS('Raw Data'!$M$3:$M$5000,'Raw Data'!$P$3:$P$5000,"W9",'Raw Data'!$H$3:$H$5000,"&lt;&gt;")</f>
        <v>1685</v>
      </c>
      <c r="AA13" s="19">
        <f>SUMIFS('Raw Data'!$N$3:$N$5000,'Raw Data'!$P$3:$P$5000,"W9",'Raw Data'!$H$3:$H$5000,"&lt;&gt;")</f>
        <v>3654</v>
      </c>
      <c r="AB13" s="20">
        <f>SUMIFS('Raw Data'!$E$3:$E$5000,'Raw Data'!$P$3:$P$5000,"W9",'Raw Data'!$H$3:$H$5000,"&lt;&gt;")</f>
        <v>20</v>
      </c>
      <c r="AC13" s="19">
        <f>SUMIFS('Raw Data'!$M$3:$M$5000,'Raw Data'!$P$3:$P$5000,"W10",'Raw Data'!$H$3:$H$5000,"&lt;&gt;")</f>
        <v>1061.1000000000001</v>
      </c>
      <c r="AD13" s="19">
        <f>SUMIFS('Raw Data'!$N$3:$N$5000,'Raw Data'!$P$3:$P$5000,"W10",'Raw Data'!$H$3:$H$5000,"&lt;&gt;")</f>
        <v>2586.9200000000005</v>
      </c>
      <c r="AE13" s="20">
        <f>SUMIFS('Raw Data'!$E$3:$E$5000,'Raw Data'!$P$3:$P$5000,"W10",'Raw Data'!$H$3:$H$5000,"&lt;&gt;")</f>
        <v>14</v>
      </c>
      <c r="AF13" s="19">
        <f>SUMIFS('Raw Data'!$M$3:$M$5000,'Raw Data'!$P$3:$P$5000,"W11",'Raw Data'!$H$3:$H$5000,"&lt;&gt;")</f>
        <v>4595</v>
      </c>
      <c r="AG13" s="19">
        <f>SUMIFS('Raw Data'!$N$3:$N$5000,'Raw Data'!$P$3:$P$5000,"W11",'Raw Data'!$H$3:$H$5000,"&lt;&gt;")</f>
        <v>9915</v>
      </c>
      <c r="AH13" s="20">
        <f>SUMIFS('Raw Data'!$E$3:$E$5000,'Raw Data'!$P$3:$P$5000,"W11",'Raw Data'!$H$3:$H$5000,"&lt;&gt;")</f>
        <v>104</v>
      </c>
      <c r="AI13" s="19">
        <f>SUMIFS('Raw Data'!$M$3:$M$5000,'Raw Data'!$P$3:$P$5000,"W12",'Raw Data'!$H$3:$H$5000,"&lt;&gt;")</f>
        <v>0</v>
      </c>
      <c r="AJ13" s="19">
        <f>SUMIFS('Raw Data'!$N$3:$N$5000,'Raw Data'!$P$3:$P$5000,"W12",'Raw Data'!$H$3:$H$5000,"&lt;&gt;")</f>
        <v>0</v>
      </c>
      <c r="AK13" s="20">
        <f>SUMIFS('Raw Data'!$E$3:$E$5000,'Raw Data'!$P$3:$P$5000,"W12",'Raw Data'!$H$3:$H$5000,"&lt;&gt;")</f>
        <v>0</v>
      </c>
      <c r="AL13" s="19">
        <f>SUMIFS('Raw Data'!$M$3:$M$5000,'Raw Data'!$P$3:$P$5000,"W13",'Raw Data'!$H$3:$H$5000,"&lt;&gt;")</f>
        <v>0</v>
      </c>
      <c r="AM13" s="19">
        <f>SUMIFS('Raw Data'!$N$3:$N$5000,'Raw Data'!$P$3:$P$5000,"W13",'Raw Data'!$H$3:$H$5000,"&lt;&gt;")</f>
        <v>0</v>
      </c>
      <c r="AN13" s="20">
        <f>SUMIFS('Raw Data'!$E$3:$E$5000,'Raw Data'!$P$3:$P$5000,"W13",'Raw Data'!$H$3:$H$5000,"&lt;&gt;")</f>
        <v>0</v>
      </c>
      <c r="AO13" s="19">
        <f>SUMIFS('Raw Data'!$M$3:$M$5000,'Raw Data'!$P$3:$P$5000,"W14",'Raw Data'!$H$3:$H$5000,"&lt;&gt;")</f>
        <v>0</v>
      </c>
      <c r="AP13" s="19">
        <f>SUMIFS('Raw Data'!$N$3:$N$5000,'Raw Data'!$P$3:$P$5000,"W14",'Raw Data'!$H$3:$H$5000,"&lt;&gt;")</f>
        <v>0</v>
      </c>
      <c r="AQ13" s="20">
        <f>SUMIFS('Raw Data'!$E$3:$E$5000,'Raw Data'!$P$3:$P$5000,"W14",'Raw Data'!$H$3:$H$5000,"&lt;&gt;")</f>
        <v>0</v>
      </c>
      <c r="AR13" s="19">
        <f>SUMIFS('Raw Data'!$M$3:$M$5000,'Raw Data'!$P$3:$P$5000,"W15",'Raw Data'!$H$3:$H$5000,"&lt;&gt;")</f>
        <v>0</v>
      </c>
      <c r="AS13" s="19">
        <f>SUMIFS('Raw Data'!$N$3:$N$5000,'Raw Data'!$P$3:$P$5000,"W15",'Raw Data'!$H$3:$H$5000,"&lt;&gt;")</f>
        <v>0</v>
      </c>
      <c r="AT13" s="20">
        <f>SUMIFS('Raw Data'!$E$3:$E$5000,'Raw Data'!$P$3:$P$5000,"W15",'Raw Data'!$H$3:$H$5000,"&lt;&gt;")</f>
        <v>0</v>
      </c>
      <c r="AU13" s="19">
        <f>SUMIFS('Raw Data'!$M$3:$M$5000,'Raw Data'!$P$3:$P$5000,"W16",'Raw Data'!$H$3:$H$5000,"&lt;&gt;")</f>
        <v>0</v>
      </c>
      <c r="AV13" s="19">
        <f>SUMIFS('Raw Data'!$N$3:$N$5000,'Raw Data'!$P$3:$P$5000,"W16",'Raw Data'!$H$3:$H$5000,"&lt;&gt;")</f>
        <v>0</v>
      </c>
      <c r="AW13" s="20">
        <f>SUMIFS('Raw Data'!$E$3:$E$5000,'Raw Data'!$P$3:$P$5000,"W16",'Raw Data'!$H$3:$H$5000,"&lt;&gt;")</f>
        <v>0</v>
      </c>
      <c r="AX13" s="19">
        <f>SUMIFS('Raw Data'!$M$3:$M$5000,'Raw Data'!$P$3:$P$5000,"W17",'Raw Data'!$H$3:$H$5000,"&lt;&gt;")</f>
        <v>0</v>
      </c>
      <c r="AY13" s="19">
        <f>SUMIFS('Raw Data'!$N$3:$N$5000,'Raw Data'!$P$3:$P$5000,"W17",'Raw Data'!$H$3:$H$5000,"&lt;&gt;")</f>
        <v>0</v>
      </c>
      <c r="AZ13" s="20">
        <f>SUMIFS('Raw Data'!$E$3:$E$5000,'Raw Data'!$P$3:$P$5000,"W17",'Raw Data'!$H$3:$H$5000,"&lt;&gt;")</f>
        <v>0</v>
      </c>
      <c r="BA13" s="19">
        <f>SUMIFS('Raw Data'!$M$3:$M$5000,'Raw Data'!$P$3:$P$5000,"W18",'Raw Data'!$H$3:$H$5000,"&lt;&gt;")</f>
        <v>0</v>
      </c>
      <c r="BB13" s="19">
        <f>SUMIFS('Raw Data'!$N$3:$N$5000,'Raw Data'!$P$3:$P$5000,"W18",'Raw Data'!$H$3:$H$5000,"&lt;&gt;")</f>
        <v>0</v>
      </c>
      <c r="BC13" s="20">
        <f>SUMIFS('Raw Data'!$E$3:$E$5000,'Raw Data'!$P$3:$P$5000,"W18",'Raw Data'!$H$3:$H$5000,"&lt;&gt;")</f>
        <v>0</v>
      </c>
      <c r="BD13" s="19">
        <f>SUMIFS('Raw Data'!$M$3:$M$5000,'Raw Data'!$P$3:$P$5000,"W19",'Raw Data'!$H$3:$H$5000,"&lt;&gt;")</f>
        <v>0</v>
      </c>
      <c r="BE13" s="19">
        <f>SUMIFS('Raw Data'!$N$3:$N$5000,'Raw Data'!$P$3:$P$5000,"W19",'Raw Data'!$H$3:$H$5000,"&lt;&gt;")</f>
        <v>0</v>
      </c>
      <c r="BF13" s="20">
        <f>SUMIFS('Raw Data'!$E$3:$E$5000,'Raw Data'!$P$3:$P$5000,"W19",'Raw Data'!$H$3:$H$5000,"&lt;&gt;")</f>
        <v>0</v>
      </c>
      <c r="BG13" s="19">
        <f>SUMIFS('Raw Data'!$M$3:$M$5000,'Raw Data'!$P$3:$P$5000,"W20",'Raw Data'!$H$3:$H$5000,"&lt;&gt;")</f>
        <v>0</v>
      </c>
      <c r="BH13" s="19">
        <f>SUMIFS('Raw Data'!$N$3:$N$5000,'Raw Data'!$P$3:$P$5000,"W20",'Raw Data'!$H$3:$H$5000,"&lt;&gt;")</f>
        <v>0</v>
      </c>
      <c r="BI13" s="20">
        <f>SUMIFS('Raw Data'!$E$3:$E$5000,'Raw Data'!$P$3:$P$5000,"W20",'Raw Data'!$H$3:$H$5000,"&lt;&gt;")</f>
        <v>0</v>
      </c>
      <c r="BJ13" s="19">
        <f>SUMIFS('Raw Data'!$M$3:$M$5000,'Raw Data'!$P$3:$P$5000,"W21",'Raw Data'!$H$3:$H$5000,"&lt;&gt;")</f>
        <v>0</v>
      </c>
      <c r="BK13" s="19">
        <f>SUMIFS('Raw Data'!$N$3:$N$5000,'Raw Data'!$P$3:$P$5000,"W21",'Raw Data'!$H$3:$H$5000,"&lt;&gt;")</f>
        <v>0</v>
      </c>
      <c r="BL13" s="20">
        <f>SUMIFS('Raw Data'!$E$3:$E$5000,'Raw Data'!$P$3:$P$5000,"W21",'Raw Data'!$H$3:$H$5000,"&lt;&gt;")</f>
        <v>0</v>
      </c>
      <c r="BM13" s="19">
        <f>SUMIFS('Raw Data'!$M$3:$M$5000,'Raw Data'!$P$3:$P$5000,"W22",'Raw Data'!$H$3:$H$5000,"&lt;&gt;")</f>
        <v>0</v>
      </c>
      <c r="BN13" s="19">
        <f>SUMIFS('Raw Data'!$N$3:$N$5000,'Raw Data'!$P$3:$P$5000,"W22",'Raw Data'!$H$3:$H$5000,"&lt;&gt;")</f>
        <v>0</v>
      </c>
      <c r="BO13" s="20">
        <f>SUMIFS('Raw Data'!$E$3:$E$5000,'Raw Data'!$P$3:$P$5000,"W22",'Raw Data'!$H$3:$H$5000,"&lt;&gt;")</f>
        <v>0</v>
      </c>
      <c r="BP13" s="19">
        <f>SUMIFS('Raw Data'!$M$3:$M$5000,'Raw Data'!$P$3:$P$5000,"W23",'Raw Data'!$H$3:$H$5000,"&lt;&gt;")</f>
        <v>0</v>
      </c>
      <c r="BQ13" s="19">
        <f>SUMIFS('Raw Data'!$N$3:$N$5000,'Raw Data'!$P$3:$P$5000,"W23",'Raw Data'!$H$3:$H$5000,"&lt;&gt;")</f>
        <v>0</v>
      </c>
      <c r="BR13" s="20">
        <f>SUMIFS('Raw Data'!$E$3:$E$5000,'Raw Data'!$P$3:$P$5000,"W23",'Raw Data'!$H$3:$H$5000,"&lt;&gt;")</f>
        <v>0</v>
      </c>
      <c r="BS13" s="19">
        <f>SUMIFS('Raw Data'!$M$3:$M$5000,'Raw Data'!$P$3:$P$5000,"W24",'Raw Data'!$H$3:$H$5000,"&lt;&gt;")</f>
        <v>0</v>
      </c>
      <c r="BT13" s="19">
        <f>SUMIFS('Raw Data'!$N$3:$N$5000,'Raw Data'!$P$3:$P$5000,"W24",'Raw Data'!$H$3:$H$5000,"&lt;&gt;")</f>
        <v>0</v>
      </c>
      <c r="BU13" s="20">
        <f>SUMIFS('Raw Data'!$E$3:$E$5000,'Raw Data'!$P$3:$P$5000,"W24",'Raw Data'!$H$3:$H$5000,"&lt;&gt;")</f>
        <v>0</v>
      </c>
      <c r="BV13" s="19">
        <f>SUMIFS('Raw Data'!$M$3:$M$5000,'Raw Data'!$P$3:$P$5000,"W25",'Raw Data'!$H$3:$H$5000,"&lt;&gt;")</f>
        <v>0</v>
      </c>
      <c r="BW13" s="19">
        <f>SUMIFS('Raw Data'!$N$3:$N$5000,'Raw Data'!$P$3:$P$5000,"W25",'Raw Data'!$H$3:$H$5000,"&lt;&gt;")</f>
        <v>0</v>
      </c>
      <c r="BX13" s="20">
        <f>SUMIFS('Raw Data'!$E$3:$E$5000,'Raw Data'!$P$3:$P$5000,"W25",'Raw Data'!$H$3:$H$5000,"&lt;&gt;")</f>
        <v>0</v>
      </c>
      <c r="BY13" s="19">
        <f>SUMIFS('Raw Data'!$M$3:$M$5000,'Raw Data'!$P$3:$P$5000,"W26",'Raw Data'!$H$3:$H$5000,"&lt;&gt;")</f>
        <v>0</v>
      </c>
      <c r="BZ13" s="19">
        <f>SUMIFS('Raw Data'!$N$3:$N$5000,'Raw Data'!$P$3:$P$5000,"W26",'Raw Data'!$H$3:$H$5000,"&lt;&gt;")</f>
        <v>0</v>
      </c>
      <c r="CA13" s="20">
        <f>SUMIFS('Raw Data'!$E$3:$E$5000,'Raw Data'!$P$3:$P$5000,"W26",'Raw Data'!$H$3:$H$5000,"&lt;&gt;")</f>
        <v>0</v>
      </c>
      <c r="CB13" s="19">
        <f>SUMIFS('Raw Data'!$M$3:$M$5000,'Raw Data'!$P$3:$P$5000,"W27",'Raw Data'!$H$3:$H$5000,"&lt;&gt;")</f>
        <v>0</v>
      </c>
      <c r="CC13" s="19">
        <f>SUMIFS('Raw Data'!$N$3:$N$5000,'Raw Data'!$P$3:$P$5000,"W27",'Raw Data'!$H$3:$H$5000,"&lt;&gt;")</f>
        <v>0</v>
      </c>
      <c r="CD13" s="20">
        <f>SUMIFS('Raw Data'!$E$3:$E$5000,'Raw Data'!$P$3:$P$5000,"W27",'Raw Data'!$H$3:$H$5000,"&lt;&gt;")</f>
        <v>0</v>
      </c>
      <c r="CE13" s="19">
        <f>SUMIFS('Raw Data'!$M$3:$M$5000,'Raw Data'!$P$3:$P$5000,"W28",'Raw Data'!$H$3:$H$5000,"&lt;&gt;")</f>
        <v>0</v>
      </c>
      <c r="CF13" s="19">
        <f>SUMIFS('Raw Data'!$N$3:$N$5000,'Raw Data'!$P$3:$P$5000,"W28",'Raw Data'!$H$3:$H$5000,"&lt;&gt;")</f>
        <v>0</v>
      </c>
      <c r="CG13" s="20">
        <f>SUMIFS('Raw Data'!$E$3:$E$5000,'Raw Data'!$P$3:$P$5000,"W28",'Raw Data'!$H$3:$H$5000,"&lt;&gt;")</f>
        <v>0</v>
      </c>
      <c r="CH13" s="19">
        <f>SUMIFS('Raw Data'!$M$3:$M$5000,'Raw Data'!$P$3:$P$5000,"W29",'Raw Data'!$H$3:$H$5000,"&lt;&gt;")</f>
        <v>0</v>
      </c>
      <c r="CI13" s="19">
        <f>SUMIFS('Raw Data'!$N$3:$N$5000,'Raw Data'!$P$3:$P$5000,"W29",'Raw Data'!$H$3:$H$5000,"&lt;&gt;")</f>
        <v>0</v>
      </c>
      <c r="CJ13" s="20">
        <f>SUMIFS('Raw Data'!$E$3:$E$5000,'Raw Data'!$P$3:$P$5000,"W29",'Raw Data'!$H$3:$H$5000,"&lt;&gt;")</f>
        <v>0</v>
      </c>
      <c r="CK13" s="19">
        <f>SUMIFS('Raw Data'!$M$3:$M$5000,'Raw Data'!$P$3:$P$5000,"W30",'Raw Data'!$H$3:$H$5000,"&lt;&gt;")</f>
        <v>0</v>
      </c>
      <c r="CL13" s="19">
        <f>SUMIFS('Raw Data'!$N$3:$N$5000,'Raw Data'!$P$3:$P$5000,"W30",'Raw Data'!$H$3:$H$5000,"&lt;&gt;")</f>
        <v>0</v>
      </c>
      <c r="CM13" s="20">
        <f>SUMIFS('Raw Data'!$E$3:$E$5000,'Raw Data'!$P$3:$P$5000,"W30",'Raw Data'!$H$3:$H$5000,"&lt;&gt;")</f>
        <v>0</v>
      </c>
      <c r="CN13" s="19">
        <f>SUMIFS('Raw Data'!$M$3:$M$5000,'Raw Data'!$P$3:$P$5000,"W31",'Raw Data'!$H$3:$H$5000,"&lt;&gt;")</f>
        <v>0</v>
      </c>
      <c r="CO13" s="19">
        <f>SUMIFS('Raw Data'!$N$3:$N$5000,'Raw Data'!$P$3:$P$5000,"W31",'Raw Data'!$H$3:$H$5000,"&lt;&gt;")</f>
        <v>0</v>
      </c>
      <c r="CP13" s="20">
        <f>SUMIFS('Raw Data'!$E$3:$E$5000,'Raw Data'!$P$3:$P$5000,"W31",'Raw Data'!$H$3:$H$5000,"&lt;&gt;")</f>
        <v>0</v>
      </c>
      <c r="CQ13" s="19">
        <f>SUMIFS('Raw Data'!$M$3:$M$5000,'Raw Data'!$P$3:$P$5000,"W32",'Raw Data'!$H$3:$H$5000,"&lt;&gt;")</f>
        <v>0</v>
      </c>
      <c r="CR13" s="19">
        <f>SUMIFS('Raw Data'!$N$3:$N$5000,'Raw Data'!$P$3:$P$5000,"W32",'Raw Data'!$H$3:$H$5000,"&lt;&gt;")</f>
        <v>0</v>
      </c>
      <c r="CS13" s="20">
        <f>SUMIFS('Raw Data'!$E$3:$E$5000,'Raw Data'!$P$3:$P$5000,"W32",'Raw Data'!$H$3:$H$5000,"&lt;&gt;")</f>
        <v>0</v>
      </c>
      <c r="CT13" s="19">
        <f>SUMIFS('Raw Data'!$M$3:$M$5000,'Raw Data'!$P$3:$P$5000,"W33",'Raw Data'!$H$3:$H$5000,"&lt;&gt;")</f>
        <v>0</v>
      </c>
      <c r="CU13" s="19">
        <f>SUMIFS('Raw Data'!$N$3:$N$5000,'Raw Data'!$P$3:$P$5000,"W33",'Raw Data'!$H$3:$H$5000,"&lt;&gt;")</f>
        <v>0</v>
      </c>
      <c r="CV13" s="20">
        <f>SUMIFS('Raw Data'!$E$3:$E$5000,'Raw Data'!$P$3:$P$5000,"W33",'Raw Data'!$H$3:$H$5000,"&lt;&gt;")</f>
        <v>0</v>
      </c>
      <c r="CW13" s="19">
        <f>SUMIFS('Raw Data'!$M$3:$M$5000,'Raw Data'!$P$3:$P$5000,"W34",'Raw Data'!$H$3:$H$5000,"&lt;&gt;")</f>
        <v>0</v>
      </c>
      <c r="CX13" s="19">
        <f>SUMIFS('Raw Data'!$N$3:$N$5000,'Raw Data'!$P$3:$P$5000,"W34",'Raw Data'!$H$3:$H$5000,"&lt;&gt;")</f>
        <v>0</v>
      </c>
      <c r="CY13" s="20">
        <f>SUMIFS('Raw Data'!$E$3:$E$5000,'Raw Data'!$P$3:$P$5000,"W34",'Raw Data'!$H$3:$H$5000,"&lt;&gt;")</f>
        <v>0</v>
      </c>
      <c r="CZ13" s="19">
        <f>SUMIFS('Raw Data'!$M$3:$M$5000,'Raw Data'!$P$3:$P$5000,"W35",'Raw Data'!$H$3:$H$5000,"&lt;&gt;")</f>
        <v>0</v>
      </c>
      <c r="DA13" s="19">
        <f>SUMIFS('Raw Data'!$N$3:$N$5000,'Raw Data'!$P$3:$P$5000,"W35",'Raw Data'!$H$3:$H$5000,"&lt;&gt;")</f>
        <v>0</v>
      </c>
      <c r="DB13" s="20">
        <f>SUMIFS('Raw Data'!$E$3:$E$5000,'Raw Data'!$P$3:$P$5000,"W35",'Raw Data'!$H$3:$H$5000,"&lt;&gt;")</f>
        <v>0</v>
      </c>
      <c r="DC13" s="19">
        <f>SUMIFS('Raw Data'!$M$3:$M$5000,'Raw Data'!$P$3:$P$5000,"W36",'Raw Data'!$H$3:$H$5000,"&lt;&gt;")</f>
        <v>0</v>
      </c>
      <c r="DD13" s="19">
        <f>SUMIFS('Raw Data'!$N$3:$N$5000,'Raw Data'!$P$3:$P$5000,"W36",'Raw Data'!$H$3:$H$5000,"&lt;&gt;")</f>
        <v>0</v>
      </c>
      <c r="DE13" s="20">
        <f>SUMIFS('Raw Data'!$E$3:$E$5000,'Raw Data'!$P$3:$P$5000,"W36",'Raw Data'!$H$3:$H$5000,"&lt;&gt;")</f>
        <v>0</v>
      </c>
      <c r="DF13" s="19">
        <f>SUMIFS('Raw Data'!$M$3:$M$5000,'Raw Data'!$P$3:$P$5000,"W37",'Raw Data'!$H$3:$H$5000,"&lt;&gt;")</f>
        <v>0</v>
      </c>
      <c r="DG13" s="19">
        <f>SUMIFS('Raw Data'!$N$3:$N$5000,'Raw Data'!$P$3:$P$5000,"W37",'Raw Data'!$H$3:$H$5000,"&lt;&gt;")</f>
        <v>0</v>
      </c>
      <c r="DH13" s="20">
        <f>SUMIFS('Raw Data'!$E$3:$E$5000,'Raw Data'!$P$3:$P$5000,"W37",'Raw Data'!$H$3:$H$5000,"&lt;&gt;")</f>
        <v>0</v>
      </c>
      <c r="DI13" s="19">
        <f>SUMIFS('Raw Data'!$M$3:$M$5000,'Raw Data'!$P$3:$P$5000,"W38",'Raw Data'!$H$3:$H$5000,"&lt;&gt;")</f>
        <v>0</v>
      </c>
      <c r="DJ13" s="19">
        <f>SUMIFS('Raw Data'!$N$3:$N$5000,'Raw Data'!$P$3:$P$5000,"W38",'Raw Data'!$H$3:$H$5000,"&lt;&gt;")</f>
        <v>0</v>
      </c>
      <c r="DK13" s="20">
        <f>SUMIFS('Raw Data'!$E$3:$E$5000,'Raw Data'!$P$3:$P$5000,"W38",'Raw Data'!$H$3:$H$5000,"&lt;&gt;")</f>
        <v>0</v>
      </c>
      <c r="DL13" s="19">
        <f>SUMIFS('Raw Data'!$M$3:$M$5000,'Raw Data'!$P$3:$P$5000,"W39",'Raw Data'!$H$3:$H$5000,"&lt;&gt;")</f>
        <v>0</v>
      </c>
      <c r="DM13" s="19">
        <f>SUMIFS('Raw Data'!$N$3:$N$5000,'Raw Data'!$P$3:$P$5000,"W39",'Raw Data'!$H$3:$H$5000,"&lt;&gt;")</f>
        <v>0</v>
      </c>
      <c r="DN13" s="20">
        <f>SUMIFS('Raw Data'!$E$3:$E$5000,'Raw Data'!$P$3:$P$5000,"W39",'Raw Data'!$H$3:$H$5000,"&lt;&gt;")</f>
        <v>0</v>
      </c>
      <c r="DO13" s="19">
        <f>SUMIFS('Raw Data'!$M$3:$M$5000,'Raw Data'!$P$3:$P$5000,"W40",'Raw Data'!$H$3:$H$5000,"&lt;&gt;")</f>
        <v>0</v>
      </c>
      <c r="DP13" s="19">
        <f>SUMIFS('Raw Data'!$N$3:$N$5000,'Raw Data'!$P$3:$P$5000,"W40",'Raw Data'!$H$3:$H$5000,"&lt;&gt;")</f>
        <v>0</v>
      </c>
      <c r="DQ13" s="20">
        <f>SUMIFS('Raw Data'!$E$3:$E$5000,'Raw Data'!$P$3:$P$5000,"W40",'Raw Data'!$H$3:$H$5000,"&lt;&gt;")</f>
        <v>0</v>
      </c>
      <c r="DR13" s="19">
        <f>SUMIFS('Raw Data'!$M$3:$M$5000,'Raw Data'!$P$3:$P$5000,"W41",'Raw Data'!$H$3:$H$5000,"&lt;&gt;")</f>
        <v>0</v>
      </c>
      <c r="DS13" s="19">
        <f>SUMIFS('Raw Data'!$N$3:$N$5000,'Raw Data'!$P$3:$P$5000,"W41",'Raw Data'!$H$3:$H$5000,"&lt;&gt;")</f>
        <v>0</v>
      </c>
      <c r="DT13" s="20">
        <f>SUMIFS('Raw Data'!$E$3:$E$5000,'Raw Data'!$P$3:$P$5000,"W41",'Raw Data'!$H$3:$H$5000,"&lt;&gt;")</f>
        <v>0</v>
      </c>
      <c r="DU13" s="19">
        <f>SUMIFS('Raw Data'!$M$3:$M$5000,'Raw Data'!$P$3:$P$5000,"W42",'Raw Data'!$H$3:$H$5000,"&lt;&gt;")</f>
        <v>0</v>
      </c>
      <c r="DV13" s="19">
        <f>SUMIFS('Raw Data'!$N$3:$N$5000,'Raw Data'!$P$3:$P$5000,"W42",'Raw Data'!$H$3:$H$5000,"&lt;&gt;")</f>
        <v>0</v>
      </c>
      <c r="DW13" s="20">
        <f>SUMIFS('Raw Data'!$E$3:$E$5000,'Raw Data'!$P$3:$P$5000,"W42",'Raw Data'!$H$3:$H$5000,"&lt;&gt;")</f>
        <v>0</v>
      </c>
      <c r="DX13" s="19">
        <f>SUMIFS('Raw Data'!$M$3:$M$5000,'Raw Data'!$P$3:$P$5000,"W43",'Raw Data'!$H$3:$H$5000,"&lt;&gt;")</f>
        <v>0</v>
      </c>
      <c r="DY13" s="19">
        <f>SUMIFS('Raw Data'!$N$3:$N$5000,'Raw Data'!$P$3:$P$5000,"W43",'Raw Data'!$H$3:$H$5000,"&lt;&gt;")</f>
        <v>0</v>
      </c>
      <c r="DZ13" s="20">
        <f>SUMIFS('Raw Data'!$E$3:$E$5000,'Raw Data'!$P$3:$P$5000,"W43",'Raw Data'!$H$3:$H$5000,"&lt;&gt;")</f>
        <v>0</v>
      </c>
      <c r="EA13" s="19">
        <f>SUMIFS('Raw Data'!$M$3:$M$5000,'Raw Data'!$P$3:$P$5000,"W44",'Raw Data'!$H$3:$H$5000,"&lt;&gt;")</f>
        <v>0</v>
      </c>
      <c r="EB13" s="19">
        <f>SUMIFS('Raw Data'!$N$3:$N$5000,'Raw Data'!$P$3:$P$5000,"W44",'Raw Data'!$H$3:$H$5000,"&lt;&gt;")</f>
        <v>0</v>
      </c>
      <c r="EC13" s="20">
        <f>SUMIFS('Raw Data'!$E$3:$E$5000,'Raw Data'!$P$3:$P$5000,"W44",'Raw Data'!$H$3:$H$5000,"&lt;&gt;")</f>
        <v>0</v>
      </c>
      <c r="ED13" s="19">
        <f>SUMIFS('Raw Data'!$M$3:$M$5000,'Raw Data'!$P$3:$P$5000,"W45",'Raw Data'!$H$3:$H$5000,"&lt;&gt;")</f>
        <v>0</v>
      </c>
      <c r="EE13" s="19">
        <f>SUMIFS('Raw Data'!$N$3:$N$5000,'Raw Data'!$P$3:$P$5000,"W45",'Raw Data'!$H$3:$H$5000,"&lt;&gt;")</f>
        <v>0</v>
      </c>
      <c r="EF13" s="20">
        <f>SUMIFS('Raw Data'!$E$3:$E$5000,'Raw Data'!$P$3:$P$5000,"W45",'Raw Data'!$H$3:$H$5000,"&lt;&gt;")</f>
        <v>0</v>
      </c>
      <c r="EG13" s="19">
        <f>SUMIFS('Raw Data'!$M$3:$M$5000,'Raw Data'!$P$3:$P$5000,"W46",'Raw Data'!$H$3:$H$5000,"&lt;&gt;")</f>
        <v>0</v>
      </c>
      <c r="EH13" s="19">
        <f>SUMIFS('Raw Data'!$N$3:$N$5000,'Raw Data'!$P$3:$P$5000,"W46",'Raw Data'!$H$3:$H$5000,"&lt;&gt;")</f>
        <v>0</v>
      </c>
      <c r="EI13" s="20">
        <f>SUMIFS('Raw Data'!$E$3:$E$5000,'Raw Data'!$P$3:$P$5000,"W46",'Raw Data'!$H$3:$H$5000,"&lt;&gt;")</f>
        <v>0</v>
      </c>
      <c r="EJ13" s="19">
        <f>SUMIFS('Raw Data'!$M$3:$M$5000,'Raw Data'!$P$3:$P$5000,"W47",'Raw Data'!$H$3:$H$5000,"&lt;&gt;")</f>
        <v>0</v>
      </c>
      <c r="EK13" s="19">
        <f>SUMIFS('Raw Data'!$N$3:$N$5000,'Raw Data'!$P$3:$P$5000,"W47",'Raw Data'!$H$3:$H$5000,"&lt;&gt;")</f>
        <v>0</v>
      </c>
      <c r="EL13" s="20">
        <f>SUMIFS('Raw Data'!$E$3:$E$5000,'Raw Data'!$P$3:$P$5000,"W47",'Raw Data'!$H$3:$H$5000,"&lt;&gt;")</f>
        <v>0</v>
      </c>
      <c r="EM13" s="19">
        <f>SUMIFS('Raw Data'!$M$3:$M$5000,'Raw Data'!$P$3:$P$5000,"W48",'Raw Data'!$H$3:$H$5000,"&lt;&gt;")</f>
        <v>0</v>
      </c>
      <c r="EN13" s="19">
        <f>SUMIFS('Raw Data'!$N$3:$N$5000,'Raw Data'!$P$3:$P$5000,"W48",'Raw Data'!$H$3:$H$5000,"&lt;&gt;")</f>
        <v>0</v>
      </c>
      <c r="EO13" s="20">
        <f>SUMIFS('Raw Data'!$E$3:$E$5000,'Raw Data'!$P$3:$P$5000,"W48",'Raw Data'!$H$3:$H$5000,"&lt;&gt;")</f>
        <v>0</v>
      </c>
      <c r="EP13" s="19">
        <f>SUMIFS('Raw Data'!$M$3:$M$5000,'Raw Data'!$P$3:$P$5000,"W49",'Raw Data'!$H$3:$H$5000,"&lt;&gt;")</f>
        <v>0</v>
      </c>
      <c r="EQ13" s="19">
        <f>SUMIFS('Raw Data'!$N$3:$N$5000,'Raw Data'!$P$3:$P$5000,"W49",'Raw Data'!$H$3:$H$5000,"&lt;&gt;")</f>
        <v>0</v>
      </c>
      <c r="ER13" s="20">
        <f>SUMIFS('Raw Data'!$E$3:$E$5000,'Raw Data'!$P$3:$P$5000,"W49",'Raw Data'!$H$3:$H$5000,"&lt;&gt;")</f>
        <v>0</v>
      </c>
      <c r="ES13" s="19">
        <f>SUMIFS('Raw Data'!$M$3:$M$5000,'Raw Data'!$P$3:$P$5000,"W50",'Raw Data'!$H$3:$H$5000,"&lt;&gt;")</f>
        <v>0</v>
      </c>
      <c r="ET13" s="19">
        <f>SUMIFS('Raw Data'!$N$3:$N$5000,'Raw Data'!$P$3:$P$5000,"W50",'Raw Data'!$H$3:$H$5000,"&lt;&gt;")</f>
        <v>0</v>
      </c>
      <c r="EU13" s="20">
        <f>SUMIFS('Raw Data'!$E$3:$E$5000,'Raw Data'!$P$3:$P$5000,"W50",'Raw Data'!$H$3:$H$5000,"&lt;&gt;")</f>
        <v>0</v>
      </c>
      <c r="EV13" s="19">
        <f>SUMIFS('Raw Data'!$M$3:$M$5000,'Raw Data'!$P$3:$P$5000,"W51",'Raw Data'!$H$3:$H$5000,"&lt;&gt;")</f>
        <v>0</v>
      </c>
      <c r="EW13" s="19">
        <f>SUMIFS('Raw Data'!$N$3:$N$5000,'Raw Data'!$P$3:$P$5000,"W51",'Raw Data'!$H$3:$H$5000,"&lt;&gt;")</f>
        <v>0</v>
      </c>
      <c r="EX13" s="20">
        <f>SUMIFS('Raw Data'!$E$3:$E$5000,'Raw Data'!$P$3:$P$5000,"W51",'Raw Data'!$H$3:$H$5000,"&lt;&gt;")</f>
        <v>0</v>
      </c>
      <c r="EY13" s="19">
        <f>SUMIFS('Raw Data'!$M$3:$M$5000,'Raw Data'!$P$3:$P$5000,"W52",'Raw Data'!$H$3:$H$5000,"&lt;&gt;")</f>
        <v>0</v>
      </c>
      <c r="EZ13" s="19">
        <f>SUMIFS('Raw Data'!$N$3:$N$5000,'Raw Data'!$P$3:$P$5000,"W52",'Raw Data'!$H$3:$H$5000,"&lt;&gt;")</f>
        <v>0</v>
      </c>
      <c r="FA13" s="20">
        <f>SUMIFS('Raw Data'!$E$3:$E$5000,'Raw Data'!$P$3:$P$5000,"W52",'Raw Data'!$H$3:$H$5000,"&lt;&gt;")</f>
        <v>0</v>
      </c>
      <c r="FB13" s="6">
        <f t="shared" ref="FB13:FD13" si="6">B13+E13+H13+K13+N13+Q13+T13+W13+Z13+AC13+AF13+AI13+AL13+AO13+AR13+AU13+AX13+BA13+BD13+BG13+BJ13+BM13+BP13+BS13+BV13+BY13+CB13+CE13+CH13+CK13+CN13+CQ13+CT13+CW13+CZ13+DC13+DF13+DI13+DL13+DO13+DR13+DU13+DX13+EA13+ED13+EG13+EJ13+EM13+EP13+ES13+EV13+EY13</f>
        <v>7341.1</v>
      </c>
      <c r="FC13" s="6">
        <f t="shared" si="6"/>
        <v>16155.92</v>
      </c>
      <c r="FD13" s="7">
        <f t="shared" si="6"/>
        <v>138</v>
      </c>
    </row>
    <row r="14" spans="1:160" ht="19.5" customHeight="1" x14ac:dyDescent="0.3">
      <c r="A14" s="21" t="s">
        <v>66</v>
      </c>
      <c r="B14" s="22" t="s">
        <v>67</v>
      </c>
      <c r="C14" s="22" t="s">
        <v>67</v>
      </c>
      <c r="D14" s="22" t="s">
        <v>67</v>
      </c>
      <c r="E14" s="22" t="s">
        <v>67</v>
      </c>
      <c r="F14" s="22" t="s">
        <v>67</v>
      </c>
      <c r="G14" s="22" t="s">
        <v>67</v>
      </c>
      <c r="H14" s="22" t="s">
        <v>67</v>
      </c>
      <c r="I14" s="22" t="s">
        <v>67</v>
      </c>
      <c r="J14" s="22" t="s">
        <v>67</v>
      </c>
      <c r="K14" s="22" t="s">
        <v>67</v>
      </c>
      <c r="L14" s="22" t="s">
        <v>67</v>
      </c>
      <c r="M14" s="22" t="s">
        <v>67</v>
      </c>
      <c r="N14" s="22" t="s">
        <v>67</v>
      </c>
      <c r="O14" s="22" t="s">
        <v>67</v>
      </c>
      <c r="P14" s="22" t="s">
        <v>67</v>
      </c>
      <c r="Q14" s="22" t="s">
        <v>67</v>
      </c>
      <c r="R14" s="22" t="s">
        <v>67</v>
      </c>
      <c r="S14" s="22" t="s">
        <v>67</v>
      </c>
      <c r="T14" s="22" t="s">
        <v>67</v>
      </c>
      <c r="U14" s="22" t="s">
        <v>67</v>
      </c>
      <c r="V14" s="22" t="s">
        <v>67</v>
      </c>
      <c r="W14" s="22" t="s">
        <v>67</v>
      </c>
      <c r="X14" s="22" t="s">
        <v>67</v>
      </c>
      <c r="Y14" s="22" t="s">
        <v>67</v>
      </c>
      <c r="Z14" s="22">
        <v>100</v>
      </c>
      <c r="AA14" s="22">
        <v>100</v>
      </c>
      <c r="AB14" s="22" t="s">
        <v>67</v>
      </c>
      <c r="AC14" s="22" t="s">
        <v>67</v>
      </c>
      <c r="AD14" s="22" t="s">
        <v>67</v>
      </c>
      <c r="AE14" s="22" t="s">
        <v>67</v>
      </c>
      <c r="AF14" s="22" t="s">
        <v>67</v>
      </c>
      <c r="AG14" s="22" t="s">
        <v>67</v>
      </c>
      <c r="AH14" s="22" t="s">
        <v>67</v>
      </c>
      <c r="AI14" s="22" t="s">
        <v>67</v>
      </c>
      <c r="AJ14" s="22" t="s">
        <v>67</v>
      </c>
      <c r="AK14" s="22" t="s">
        <v>67</v>
      </c>
      <c r="AL14" s="22" t="s">
        <v>67</v>
      </c>
      <c r="AM14" s="22" t="s">
        <v>67</v>
      </c>
      <c r="AN14" s="22" t="s">
        <v>67</v>
      </c>
      <c r="AO14" s="22" t="s">
        <v>67</v>
      </c>
      <c r="AP14" s="22" t="s">
        <v>67</v>
      </c>
      <c r="AQ14" s="22" t="s">
        <v>67</v>
      </c>
      <c r="AR14" s="22" t="s">
        <v>67</v>
      </c>
      <c r="AS14" s="22" t="s">
        <v>67</v>
      </c>
      <c r="AT14" s="22" t="s">
        <v>67</v>
      </c>
      <c r="AU14" s="22" t="s">
        <v>67</v>
      </c>
      <c r="AV14" s="22" t="s">
        <v>67</v>
      </c>
      <c r="AW14" s="22" t="s">
        <v>67</v>
      </c>
      <c r="AX14" s="22" t="s">
        <v>67</v>
      </c>
      <c r="AY14" s="22" t="s">
        <v>67</v>
      </c>
      <c r="AZ14" s="22" t="s">
        <v>67</v>
      </c>
      <c r="BA14" s="22" t="s">
        <v>67</v>
      </c>
      <c r="BB14" s="22" t="s">
        <v>67</v>
      </c>
      <c r="BC14" s="22" t="s">
        <v>67</v>
      </c>
      <c r="BD14" s="22" t="s">
        <v>67</v>
      </c>
      <c r="BE14" s="22" t="s">
        <v>67</v>
      </c>
      <c r="BF14" s="22" t="s">
        <v>67</v>
      </c>
      <c r="BG14" s="22" t="s">
        <v>67</v>
      </c>
      <c r="BH14" s="22" t="s">
        <v>67</v>
      </c>
      <c r="BI14" s="22" t="s">
        <v>67</v>
      </c>
      <c r="BJ14" s="22" t="s">
        <v>67</v>
      </c>
      <c r="BK14" s="22" t="s">
        <v>67</v>
      </c>
      <c r="BL14" s="22" t="s">
        <v>67</v>
      </c>
      <c r="BM14" s="22" t="s">
        <v>67</v>
      </c>
      <c r="BN14" s="22" t="s">
        <v>67</v>
      </c>
      <c r="BO14" s="22" t="s">
        <v>67</v>
      </c>
      <c r="BP14" s="22" t="s">
        <v>67</v>
      </c>
      <c r="BQ14" s="22" t="s">
        <v>67</v>
      </c>
      <c r="BR14" s="22" t="s">
        <v>67</v>
      </c>
      <c r="BS14" s="22" t="s">
        <v>67</v>
      </c>
      <c r="BT14" s="22" t="s">
        <v>67</v>
      </c>
      <c r="BU14" s="22" t="s">
        <v>67</v>
      </c>
      <c r="BV14" s="22" t="s">
        <v>67</v>
      </c>
      <c r="BW14" s="22" t="s">
        <v>67</v>
      </c>
      <c r="BX14" s="22" t="s">
        <v>67</v>
      </c>
      <c r="BY14" s="22" t="s">
        <v>67</v>
      </c>
      <c r="BZ14" s="22" t="s">
        <v>67</v>
      </c>
      <c r="CA14" s="22" t="s">
        <v>67</v>
      </c>
      <c r="CB14" s="22" t="s">
        <v>67</v>
      </c>
      <c r="CC14" s="22" t="s">
        <v>67</v>
      </c>
      <c r="CD14" s="22" t="s">
        <v>67</v>
      </c>
      <c r="CE14" s="22" t="s">
        <v>67</v>
      </c>
      <c r="CF14" s="22" t="s">
        <v>67</v>
      </c>
      <c r="CG14" s="22" t="s">
        <v>67</v>
      </c>
      <c r="CH14" s="22" t="s">
        <v>67</v>
      </c>
      <c r="CI14" s="22" t="s">
        <v>67</v>
      </c>
      <c r="CJ14" s="22" t="s">
        <v>67</v>
      </c>
      <c r="CK14" s="22" t="s">
        <v>67</v>
      </c>
      <c r="CL14" s="22" t="s">
        <v>67</v>
      </c>
      <c r="CM14" s="22" t="s">
        <v>67</v>
      </c>
      <c r="CN14" s="22" t="s">
        <v>67</v>
      </c>
      <c r="CO14" s="22" t="s">
        <v>67</v>
      </c>
      <c r="CP14" s="22" t="s">
        <v>67</v>
      </c>
      <c r="CQ14" s="22" t="s">
        <v>67</v>
      </c>
      <c r="CR14" s="22" t="s">
        <v>67</v>
      </c>
      <c r="CS14" s="22" t="s">
        <v>67</v>
      </c>
      <c r="CT14" s="22" t="s">
        <v>67</v>
      </c>
      <c r="CU14" s="22" t="s">
        <v>67</v>
      </c>
      <c r="CV14" s="22" t="s">
        <v>67</v>
      </c>
      <c r="CW14" s="22" t="s">
        <v>67</v>
      </c>
      <c r="CX14" s="22" t="s">
        <v>67</v>
      </c>
      <c r="CY14" s="22" t="s">
        <v>67</v>
      </c>
      <c r="CZ14" s="22" t="s">
        <v>67</v>
      </c>
      <c r="DA14" s="22" t="s">
        <v>67</v>
      </c>
      <c r="DB14" s="22" t="s">
        <v>67</v>
      </c>
      <c r="DC14" s="22" t="s">
        <v>67</v>
      </c>
      <c r="DD14" s="22" t="s">
        <v>67</v>
      </c>
      <c r="DE14" s="22" t="s">
        <v>67</v>
      </c>
      <c r="DF14" s="22" t="s">
        <v>67</v>
      </c>
      <c r="DG14" s="22" t="s">
        <v>67</v>
      </c>
      <c r="DH14" s="22" t="s">
        <v>67</v>
      </c>
      <c r="DI14" s="22" t="s">
        <v>67</v>
      </c>
      <c r="DJ14" s="22" t="s">
        <v>67</v>
      </c>
      <c r="DK14" s="22" t="s">
        <v>67</v>
      </c>
      <c r="DL14" s="22" t="s">
        <v>67</v>
      </c>
      <c r="DM14" s="22" t="s">
        <v>67</v>
      </c>
      <c r="DN14" s="22" t="s">
        <v>67</v>
      </c>
      <c r="DO14" s="22" t="s">
        <v>67</v>
      </c>
      <c r="DP14" s="22" t="s">
        <v>67</v>
      </c>
      <c r="DQ14" s="22" t="s">
        <v>67</v>
      </c>
      <c r="DR14" s="22" t="s">
        <v>67</v>
      </c>
      <c r="DS14" s="22" t="s">
        <v>67</v>
      </c>
      <c r="DT14" s="22" t="s">
        <v>67</v>
      </c>
      <c r="DU14" s="22" t="s">
        <v>67</v>
      </c>
      <c r="DV14" s="22" t="s">
        <v>67</v>
      </c>
      <c r="DW14" s="22" t="s">
        <v>67</v>
      </c>
      <c r="DX14" s="22" t="s">
        <v>67</v>
      </c>
      <c r="DY14" s="22" t="s">
        <v>67</v>
      </c>
      <c r="DZ14" s="22" t="s">
        <v>67</v>
      </c>
      <c r="EA14" s="22" t="s">
        <v>67</v>
      </c>
      <c r="EB14" s="22" t="s">
        <v>67</v>
      </c>
      <c r="EC14" s="22" t="s">
        <v>67</v>
      </c>
      <c r="ED14" s="22" t="s">
        <v>67</v>
      </c>
      <c r="EE14" s="22" t="s">
        <v>67</v>
      </c>
      <c r="EF14" s="22" t="s">
        <v>67</v>
      </c>
      <c r="EG14" s="22" t="s">
        <v>67</v>
      </c>
      <c r="EH14" s="22" t="s">
        <v>67</v>
      </c>
      <c r="EI14" s="22" t="s">
        <v>67</v>
      </c>
      <c r="EJ14" s="22" t="s">
        <v>67</v>
      </c>
      <c r="EK14" s="22" t="s">
        <v>67</v>
      </c>
      <c r="EL14" s="22" t="s">
        <v>67</v>
      </c>
      <c r="EM14" s="22" t="s">
        <v>67</v>
      </c>
      <c r="EN14" s="22" t="s">
        <v>67</v>
      </c>
      <c r="EO14" s="22" t="s">
        <v>67</v>
      </c>
      <c r="EP14" s="22" t="s">
        <v>67</v>
      </c>
      <c r="EQ14" s="22" t="s">
        <v>67</v>
      </c>
      <c r="ER14" s="22" t="s">
        <v>67</v>
      </c>
      <c r="ES14" s="22" t="s">
        <v>67</v>
      </c>
      <c r="ET14" s="22" t="s">
        <v>67</v>
      </c>
      <c r="EU14" s="22" t="s">
        <v>67</v>
      </c>
      <c r="EV14" s="22" t="s">
        <v>67</v>
      </c>
      <c r="EW14" s="22" t="s">
        <v>67</v>
      </c>
      <c r="EX14" s="22" t="s">
        <v>67</v>
      </c>
      <c r="EY14" s="22" t="s">
        <v>67</v>
      </c>
      <c r="EZ14" s="22" t="s">
        <v>67</v>
      </c>
      <c r="FA14" s="22" t="s">
        <v>67</v>
      </c>
      <c r="FB14" s="23" t="s">
        <v>67</v>
      </c>
      <c r="FC14" s="23" t="s">
        <v>67</v>
      </c>
      <c r="FD14" s="23" t="s">
        <v>67</v>
      </c>
    </row>
    <row r="15" spans="1:160" ht="4.5" customHeight="1" x14ac:dyDescent="0.3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</row>
    <row r="16" spans="1:160" ht="19.5" customHeight="1" x14ac:dyDescent="0.3">
      <c r="A16" s="24" t="s">
        <v>68</v>
      </c>
      <c r="B16" s="25">
        <f>SUMIFS('Raw Data'!$M$3:$M$5000,'Raw Data'!$P$3:$P$5000,"W1",'Raw Data'!$K$3:$K$5000,"Yes")</f>
        <v>0</v>
      </c>
      <c r="C16" s="25">
        <f>SUMIFS('Raw Data'!$N$3:$N$5000,'Raw Data'!$P$3:$P$5000,"W1",'Raw Data'!$K$3:$K$5000,"Yes")</f>
        <v>0</v>
      </c>
      <c r="D16" s="26">
        <f>SUMIFS('Raw Data'!$E$3:$E$5000,'Raw Data'!$P$3:$P$5000,"W1",'Raw Data'!$K$3:$K$5000,"Yes")</f>
        <v>0</v>
      </c>
      <c r="E16" s="25">
        <f>SUMIFS('Raw Data'!$M$3:$M$5000,'Raw Data'!$P$3:$P$5000,"W2",'Raw Data'!$K$3:$K$5000,"Yes")</f>
        <v>0</v>
      </c>
      <c r="F16" s="25">
        <f>SUMIFS('Raw Data'!$N$3:$N$5000,'Raw Data'!$P$3:$P$5000,"W2",'Raw Data'!$K$3:$K$5000,"Yes")</f>
        <v>0</v>
      </c>
      <c r="G16" s="26">
        <f>SUMIFS('Raw Data'!$E$3:$E$5000,'Raw Data'!$P$3:$P$5000,"W2",'Raw Data'!$K$3:$K$5000,"Yes")</f>
        <v>0</v>
      </c>
      <c r="H16" s="25">
        <f>SUMIFS('Raw Data'!$M$3:$M$5000,'Raw Data'!$P$3:$P$5000,"W3",'Raw Data'!$K$3:$K$5000,"Yes")</f>
        <v>0</v>
      </c>
      <c r="I16" s="25">
        <f>SUMIFS('Raw Data'!$N$3:$N$5000,'Raw Data'!$P$3:$P$5000,"W3",'Raw Data'!$K$3:$K$5000,"Yes")</f>
        <v>0</v>
      </c>
      <c r="J16" s="26">
        <f>SUMIFS('Raw Data'!$E$3:$E$5000,'Raw Data'!$P$3:$P$5000,"W3",'Raw Data'!$K$3:$K$5000,"Yes")</f>
        <v>0</v>
      </c>
      <c r="K16" s="25">
        <f>SUMIFS('Raw Data'!$M$3:$M$5000,'Raw Data'!$P$3:$P$5000,"W4",'Raw Data'!$K$3:$K$5000,"Yes")</f>
        <v>0</v>
      </c>
      <c r="L16" s="25">
        <f>SUMIFS('Raw Data'!$N$3:$N$5000,'Raw Data'!$P$3:$P$5000,"W4",'Raw Data'!$K$3:$K$5000,"Yes")</f>
        <v>0</v>
      </c>
      <c r="M16" s="26">
        <f>SUMIFS('Raw Data'!$E$3:$E$5000,'Raw Data'!$P$3:$P$5000,"W4",'Raw Data'!$K$3:$K$5000,"Yes")</f>
        <v>0</v>
      </c>
      <c r="N16" s="25">
        <f>SUMIFS('Raw Data'!$M$3:$M$5000,'Raw Data'!$P$3:$P$5000,"W5",'Raw Data'!$K$3:$K$5000,"Yes")</f>
        <v>0</v>
      </c>
      <c r="O16" s="25">
        <f>SUMIFS('Raw Data'!$N$3:$N$5000,'Raw Data'!$P$3:$P$5000,"W5",'Raw Data'!$K$3:$K$5000,"Yes")</f>
        <v>0</v>
      </c>
      <c r="P16" s="26">
        <f>SUMIFS('Raw Data'!$E$3:$E$5000,'Raw Data'!$P$3:$P$5000,"W5",'Raw Data'!$K$3:$K$5000,"Yes")</f>
        <v>0</v>
      </c>
      <c r="Q16" s="25">
        <f>SUMIFS('Raw Data'!$M$3:$M$5000,'Raw Data'!$P$3:$P$5000,"W6",'Raw Data'!$K$3:$K$5000,"Yes")</f>
        <v>0</v>
      </c>
      <c r="R16" s="25">
        <f>SUMIFS('Raw Data'!$N$3:$N$5000,'Raw Data'!$P$3:$P$5000,"W6",'Raw Data'!$K$3:$K$5000,"Yes")</f>
        <v>0</v>
      </c>
      <c r="S16" s="26">
        <f>SUMIFS('Raw Data'!$E$3:$E$5000,'Raw Data'!$P$3:$P$5000,"W6",'Raw Data'!$K$3:$K$5000,"Yes")</f>
        <v>0</v>
      </c>
      <c r="T16" s="25">
        <f>SUMIFS('Raw Data'!$M$3:$M$5000,'Raw Data'!$P$3:$P$5000,"W7",'Raw Data'!$K$3:$K$5000,"Yes")</f>
        <v>0</v>
      </c>
      <c r="U16" s="25">
        <f>SUMIFS('Raw Data'!$N$3:$N$5000,'Raw Data'!$P$3:$P$5000,"W7",'Raw Data'!$K$3:$K$5000,"Yes")</f>
        <v>0</v>
      </c>
      <c r="V16" s="26">
        <f>SUMIFS('Raw Data'!$E$3:$E$5000,'Raw Data'!$P$3:$P$5000,"W7",'Raw Data'!$K$3:$K$5000,"Yes")</f>
        <v>0</v>
      </c>
      <c r="W16" s="25">
        <f>SUMIFS('Raw Data'!$M$3:$M$5000,'Raw Data'!$P$3:$P$5000,"W8",'Raw Data'!$K$3:$K$5000,"Yes")</f>
        <v>0</v>
      </c>
      <c r="X16" s="25">
        <f>SUMIFS('Raw Data'!$N$3:$N$5000,'Raw Data'!$P$3:$P$5000,"W8",'Raw Data'!$K$3:$K$5000,"Yes")</f>
        <v>0</v>
      </c>
      <c r="Y16" s="26">
        <f>SUMIFS('Raw Data'!$E$3:$E$5000,'Raw Data'!$P$3:$P$5000,"W8",'Raw Data'!$K$3:$K$5000,"Yes")</f>
        <v>0</v>
      </c>
      <c r="Z16" s="25">
        <f>SUMIFS('Raw Data'!$M$3:$M$5000,'Raw Data'!$P$3:$P$5000,"W9",'Raw Data'!$K$3:$K$5000,"Yes")</f>
        <v>1553</v>
      </c>
      <c r="AA16" s="25">
        <f>SUMIFS('Raw Data'!$N$3:$N$5000,'Raw Data'!$P$3:$P$5000,"W9",'Raw Data'!$K$3:$K$5000,"Yes")</f>
        <v>3405</v>
      </c>
      <c r="AB16" s="26">
        <f>SUMIFS('Raw Data'!$E$3:$E$5000,'Raw Data'!$P$3:$P$5000,"W9",'Raw Data'!$K$3:$K$5000,"Yes")</f>
        <v>19</v>
      </c>
      <c r="AC16" s="25">
        <f>SUMIFS('Raw Data'!$M$3:$M$5000,'Raw Data'!$P$3:$P$5000,"W10",'Raw Data'!$K$3:$K$5000,"Yes")</f>
        <v>1046.8600000000001</v>
      </c>
      <c r="AD16" s="25">
        <f>SUMIFS('Raw Data'!$N$3:$N$5000,'Raw Data'!$P$3:$P$5000,"W10",'Raw Data'!$K$3:$K$5000,"Yes")</f>
        <v>2315.5700000000002</v>
      </c>
      <c r="AE16" s="26">
        <f>SUMIFS('Raw Data'!$E$3:$E$5000,'Raw Data'!$P$3:$P$5000,"W10",'Raw Data'!$K$3:$K$5000,"Yes")</f>
        <v>14</v>
      </c>
      <c r="AF16" s="25">
        <f>SUMIFS('Raw Data'!$M$3:$M$5000,'Raw Data'!$P$3:$P$5000,"W11",'Raw Data'!$K$3:$K$5000,"Yes")</f>
        <v>4595</v>
      </c>
      <c r="AG16" s="25">
        <f>SUMIFS('Raw Data'!$N$3:$N$5000,'Raw Data'!$P$3:$P$5000,"W11",'Raw Data'!$K$3:$K$5000,"Yes")</f>
        <v>9915</v>
      </c>
      <c r="AH16" s="26">
        <f>SUMIFS('Raw Data'!$E$3:$E$5000,'Raw Data'!$P$3:$P$5000,"W11",'Raw Data'!$K$3:$K$5000,"Yes")</f>
        <v>104</v>
      </c>
      <c r="AI16" s="25">
        <f>SUMIFS('Raw Data'!$M$3:$M$5000,'Raw Data'!$P$3:$P$5000,"W12",'Raw Data'!$K$3:$K$5000,"Yes")</f>
        <v>0</v>
      </c>
      <c r="AJ16" s="25">
        <f>SUMIFS('Raw Data'!$N$3:$N$5000,'Raw Data'!$P$3:$P$5000,"W12",'Raw Data'!$K$3:$K$5000,"Yes")</f>
        <v>0</v>
      </c>
      <c r="AK16" s="26">
        <f>SUMIFS('Raw Data'!$E$3:$E$5000,'Raw Data'!$P$3:$P$5000,"W12",'Raw Data'!$K$3:$K$5000,"Yes")</f>
        <v>0</v>
      </c>
      <c r="AL16" s="25">
        <f>SUMIFS('Raw Data'!$M$3:$M$5000,'Raw Data'!$P$3:$P$5000,"W13",'Raw Data'!$K$3:$K$5000,"Yes")</f>
        <v>0</v>
      </c>
      <c r="AM16" s="25">
        <f>SUMIFS('Raw Data'!$N$3:$N$5000,'Raw Data'!$P$3:$P$5000,"W13",'Raw Data'!$K$3:$K$5000,"Yes")</f>
        <v>0</v>
      </c>
      <c r="AN16" s="26">
        <f>SUMIFS('Raw Data'!$E$3:$E$5000,'Raw Data'!$P$3:$P$5000,"W13",'Raw Data'!$K$3:$K$5000,"Yes")</f>
        <v>0</v>
      </c>
      <c r="AO16" s="25">
        <f>SUMIFS('Raw Data'!$M$3:$M$5000,'Raw Data'!$P$3:$P$5000,"W14",'Raw Data'!$K$3:$K$5000,"Yes")</f>
        <v>0</v>
      </c>
      <c r="AP16" s="25">
        <f>SUMIFS('Raw Data'!$N$3:$N$5000,'Raw Data'!$P$3:$P$5000,"W14",'Raw Data'!$K$3:$K$5000,"Yes")</f>
        <v>0</v>
      </c>
      <c r="AQ16" s="26">
        <f>SUMIFS('Raw Data'!$E$3:$E$5000,'Raw Data'!$P$3:$P$5000,"W14",'Raw Data'!$K$3:$K$5000,"Yes")</f>
        <v>0</v>
      </c>
      <c r="AR16" s="25">
        <f>SUMIFS('Raw Data'!$M$3:$M$5000,'Raw Data'!$P$3:$P$5000,"W15",'Raw Data'!$K$3:$K$5000,"Yes")</f>
        <v>0</v>
      </c>
      <c r="AS16" s="25">
        <f>SUMIFS('Raw Data'!$N$3:$N$5000,'Raw Data'!$P$3:$P$5000,"W15",'Raw Data'!$K$3:$K$5000,"Yes")</f>
        <v>0</v>
      </c>
      <c r="AT16" s="26">
        <f>SUMIFS('Raw Data'!$E$3:$E$5000,'Raw Data'!$P$3:$P$5000,"W15",'Raw Data'!$K$3:$K$5000,"Yes")</f>
        <v>0</v>
      </c>
      <c r="AU16" s="25">
        <f>SUMIFS('Raw Data'!$M$3:$M$5000,'Raw Data'!$P$3:$P$5000,"W16",'Raw Data'!$K$3:$K$5000,"Yes")</f>
        <v>0</v>
      </c>
      <c r="AV16" s="25">
        <f>SUMIFS('Raw Data'!$N$3:$N$5000,'Raw Data'!$P$3:$P$5000,"W16",'Raw Data'!$K$3:$K$5000,"Yes")</f>
        <v>0</v>
      </c>
      <c r="AW16" s="26">
        <f>SUMIFS('Raw Data'!$E$3:$E$5000,'Raw Data'!$P$3:$P$5000,"W16",'Raw Data'!$K$3:$K$5000,"Yes")</f>
        <v>0</v>
      </c>
      <c r="AX16" s="25">
        <f>SUMIFS('Raw Data'!$M$3:$M$5000,'Raw Data'!$P$3:$P$5000,"W17",'Raw Data'!$K$3:$K$5000,"Yes")</f>
        <v>0</v>
      </c>
      <c r="AY16" s="25">
        <f>SUMIFS('Raw Data'!$N$3:$N$5000,'Raw Data'!$P$3:$P$5000,"W17",'Raw Data'!$K$3:$K$5000,"Yes")</f>
        <v>0</v>
      </c>
      <c r="AZ16" s="26">
        <f>SUMIFS('Raw Data'!$E$3:$E$5000,'Raw Data'!$P$3:$P$5000,"W17",'Raw Data'!$K$3:$K$5000,"Yes")</f>
        <v>0</v>
      </c>
      <c r="BA16" s="25">
        <f>SUMIFS('Raw Data'!$M$3:$M$5000,'Raw Data'!$P$3:$P$5000,"W18",'Raw Data'!$K$3:$K$5000,"Yes")</f>
        <v>0</v>
      </c>
      <c r="BB16" s="25">
        <f>SUMIFS('Raw Data'!$N$3:$N$5000,'Raw Data'!$P$3:$P$5000,"W18",'Raw Data'!$K$3:$K$5000,"Yes")</f>
        <v>0</v>
      </c>
      <c r="BC16" s="26">
        <f>SUMIFS('Raw Data'!$E$3:$E$5000,'Raw Data'!$P$3:$P$5000,"W18",'Raw Data'!$K$3:$K$5000,"Yes")</f>
        <v>0</v>
      </c>
      <c r="BD16" s="25">
        <f>SUMIFS('Raw Data'!$M$3:$M$5000,'Raw Data'!$P$3:$P$5000,"W19",'Raw Data'!$K$3:$K$5000,"Yes")</f>
        <v>0</v>
      </c>
      <c r="BE16" s="25">
        <f>SUMIFS('Raw Data'!$N$3:$N$5000,'Raw Data'!$P$3:$P$5000,"W19",'Raw Data'!$K$3:$K$5000,"Yes")</f>
        <v>0</v>
      </c>
      <c r="BF16" s="26">
        <f>SUMIFS('Raw Data'!$E$3:$E$5000,'Raw Data'!$P$3:$P$5000,"W19",'Raw Data'!$K$3:$K$5000,"Yes")</f>
        <v>0</v>
      </c>
      <c r="BG16" s="25">
        <f>SUMIFS('Raw Data'!$M$3:$M$5000,'Raw Data'!$P$3:$P$5000,"W20",'Raw Data'!$K$3:$K$5000,"Yes")</f>
        <v>0</v>
      </c>
      <c r="BH16" s="25">
        <f>SUMIFS('Raw Data'!$N$3:$N$5000,'Raw Data'!$P$3:$P$5000,"W20",'Raw Data'!$K$3:$K$5000,"Yes")</f>
        <v>0</v>
      </c>
      <c r="BI16" s="26">
        <f>SUMIFS('Raw Data'!$E$3:$E$5000,'Raw Data'!$P$3:$P$5000,"W20",'Raw Data'!$K$3:$K$5000,"Yes")</f>
        <v>0</v>
      </c>
      <c r="BJ16" s="25">
        <f>SUMIFS('Raw Data'!$M$3:$M$5000,'Raw Data'!$P$3:$P$5000,"W21",'Raw Data'!$K$3:$K$5000,"Yes")</f>
        <v>0</v>
      </c>
      <c r="BK16" s="25">
        <f>SUMIFS('Raw Data'!$N$3:$N$5000,'Raw Data'!$P$3:$P$5000,"W21",'Raw Data'!$K$3:$K$5000,"Yes")</f>
        <v>0</v>
      </c>
      <c r="BL16" s="26">
        <f>SUMIFS('Raw Data'!$E$3:$E$5000,'Raw Data'!$P$3:$P$5000,"W21",'Raw Data'!$K$3:$K$5000,"Yes")</f>
        <v>0</v>
      </c>
      <c r="BM16" s="25">
        <f>SUMIFS('Raw Data'!$M$3:$M$5000,'Raw Data'!$P$3:$P$5000,"W22",'Raw Data'!$K$3:$K$5000,"Yes")</f>
        <v>0</v>
      </c>
      <c r="BN16" s="25">
        <f>SUMIFS('Raw Data'!$N$3:$N$5000,'Raw Data'!$P$3:$P$5000,"W22",'Raw Data'!$K$3:$K$5000,"Yes")</f>
        <v>0</v>
      </c>
      <c r="BO16" s="26">
        <f>SUMIFS('Raw Data'!$E$3:$E$5000,'Raw Data'!$P$3:$P$5000,"W22",'Raw Data'!$K$3:$K$5000,"Yes")</f>
        <v>0</v>
      </c>
      <c r="BP16" s="25">
        <f>SUMIFS('Raw Data'!$M$3:$M$5000,'Raw Data'!$P$3:$P$5000,"W23",'Raw Data'!$K$3:$K$5000,"Yes")</f>
        <v>0</v>
      </c>
      <c r="BQ16" s="25">
        <f>SUMIFS('Raw Data'!$N$3:$N$5000,'Raw Data'!$P$3:$P$5000,"W23",'Raw Data'!$K$3:$K$5000,"Yes")</f>
        <v>0</v>
      </c>
      <c r="BR16" s="26">
        <f>SUMIFS('Raw Data'!$E$3:$E$5000,'Raw Data'!$P$3:$P$5000,"W23",'Raw Data'!$K$3:$K$5000,"Yes")</f>
        <v>0</v>
      </c>
      <c r="BS16" s="25">
        <f>SUMIFS('Raw Data'!$M$3:$M$5000,'Raw Data'!$P$3:$P$5000,"W24",'Raw Data'!$K$3:$K$5000,"Yes")</f>
        <v>0</v>
      </c>
      <c r="BT16" s="25">
        <f>SUMIFS('Raw Data'!$N$3:$N$5000,'Raw Data'!$P$3:$P$5000,"W24",'Raw Data'!$K$3:$K$5000,"Yes")</f>
        <v>0</v>
      </c>
      <c r="BU16" s="26">
        <f>SUMIFS('Raw Data'!$E$3:$E$5000,'Raw Data'!$P$3:$P$5000,"W24",'Raw Data'!$K$3:$K$5000,"Yes")</f>
        <v>0</v>
      </c>
      <c r="BV16" s="25">
        <f>SUMIFS('Raw Data'!$M$3:$M$5000,'Raw Data'!$P$3:$P$5000,"W25",'Raw Data'!$K$3:$K$5000,"Yes")</f>
        <v>0</v>
      </c>
      <c r="BW16" s="25">
        <f>SUMIFS('Raw Data'!$N$3:$N$5000,'Raw Data'!$P$3:$P$5000,"W25",'Raw Data'!$K$3:$K$5000,"Yes")</f>
        <v>0</v>
      </c>
      <c r="BX16" s="26">
        <f>SUMIFS('Raw Data'!$E$3:$E$5000,'Raw Data'!$P$3:$P$5000,"W25",'Raw Data'!$K$3:$K$5000,"Yes")</f>
        <v>0</v>
      </c>
      <c r="BY16" s="25">
        <f>SUMIFS('Raw Data'!$M$3:$M$5000,'Raw Data'!$P$3:$P$5000,"W26",'Raw Data'!$K$3:$K$5000,"Yes")</f>
        <v>0</v>
      </c>
      <c r="BZ16" s="25">
        <f>SUMIFS('Raw Data'!$N$3:$N$5000,'Raw Data'!$P$3:$P$5000,"W26",'Raw Data'!$K$3:$K$5000,"Yes")</f>
        <v>0</v>
      </c>
      <c r="CA16" s="26">
        <f>SUMIFS('Raw Data'!$E$3:$E$5000,'Raw Data'!$P$3:$P$5000,"W26",'Raw Data'!$K$3:$K$5000,"Yes")</f>
        <v>0</v>
      </c>
      <c r="CB16" s="25">
        <f>SUMIFS('Raw Data'!$M$3:$M$5000,'Raw Data'!$P$3:$P$5000,"W27",'Raw Data'!$K$3:$K$5000,"Yes")</f>
        <v>0</v>
      </c>
      <c r="CC16" s="25">
        <f>SUMIFS('Raw Data'!$N$3:$N$5000,'Raw Data'!$P$3:$P$5000,"W27",'Raw Data'!$K$3:$K$5000,"Yes")</f>
        <v>0</v>
      </c>
      <c r="CD16" s="26">
        <f>SUMIFS('Raw Data'!$E$3:$E$5000,'Raw Data'!$P$3:$P$5000,"W27",'Raw Data'!$K$3:$K$5000,"Yes")</f>
        <v>0</v>
      </c>
      <c r="CE16" s="25">
        <f>SUMIFS('Raw Data'!$M$3:$M$5000,'Raw Data'!$P$3:$P$5000,"W28",'Raw Data'!$K$3:$K$5000,"Yes")</f>
        <v>0</v>
      </c>
      <c r="CF16" s="25">
        <f>SUMIFS('Raw Data'!$N$3:$N$5000,'Raw Data'!$P$3:$P$5000,"W28",'Raw Data'!$K$3:$K$5000,"Yes")</f>
        <v>0</v>
      </c>
      <c r="CG16" s="26">
        <f>SUMIFS('Raw Data'!$E$3:$E$5000,'Raw Data'!$P$3:$P$5000,"W28",'Raw Data'!$K$3:$K$5000,"Yes")</f>
        <v>0</v>
      </c>
      <c r="CH16" s="25">
        <f>SUMIFS('Raw Data'!$M$3:$M$5000,'Raw Data'!$P$3:$P$5000,"W29",'Raw Data'!$K$3:$K$5000,"Yes")</f>
        <v>0</v>
      </c>
      <c r="CI16" s="25">
        <f>SUMIFS('Raw Data'!$N$3:$N$5000,'Raw Data'!$P$3:$P$5000,"W29",'Raw Data'!$K$3:$K$5000,"Yes")</f>
        <v>0</v>
      </c>
      <c r="CJ16" s="26">
        <f>SUMIFS('Raw Data'!$E$3:$E$5000,'Raw Data'!$P$3:$P$5000,"W29",'Raw Data'!$K$3:$K$5000,"Yes")</f>
        <v>0</v>
      </c>
      <c r="CK16" s="25">
        <f>SUMIFS('Raw Data'!$M$3:$M$5000,'Raw Data'!$P$3:$P$5000,"W30",'Raw Data'!$K$3:$K$5000,"Yes")</f>
        <v>0</v>
      </c>
      <c r="CL16" s="25">
        <f>SUMIFS('Raw Data'!$N$3:$N$5000,'Raw Data'!$P$3:$P$5000,"W30",'Raw Data'!$K$3:$K$5000,"Yes")</f>
        <v>0</v>
      </c>
      <c r="CM16" s="26">
        <f>SUMIFS('Raw Data'!$E$3:$E$5000,'Raw Data'!$P$3:$P$5000,"W30",'Raw Data'!$K$3:$K$5000,"Yes")</f>
        <v>0</v>
      </c>
      <c r="CN16" s="25">
        <f>SUMIFS('Raw Data'!$M$3:$M$5000,'Raw Data'!$P$3:$P$5000,"W31",'Raw Data'!$K$3:$K$5000,"Yes")</f>
        <v>0</v>
      </c>
      <c r="CO16" s="25">
        <f>SUMIFS('Raw Data'!$N$3:$N$5000,'Raw Data'!$P$3:$P$5000,"W31",'Raw Data'!$K$3:$K$5000,"Yes")</f>
        <v>0</v>
      </c>
      <c r="CP16" s="26">
        <f>SUMIFS('Raw Data'!$E$3:$E$5000,'Raw Data'!$P$3:$P$5000,"W31",'Raw Data'!$K$3:$K$5000,"Yes")</f>
        <v>0</v>
      </c>
      <c r="CQ16" s="25">
        <f>SUMIFS('Raw Data'!$M$3:$M$5000,'Raw Data'!$P$3:$P$5000,"W32",'Raw Data'!$K$3:$K$5000,"Yes")</f>
        <v>0</v>
      </c>
      <c r="CR16" s="25">
        <f>SUMIFS('Raw Data'!$N$3:$N$5000,'Raw Data'!$P$3:$P$5000,"W32",'Raw Data'!$K$3:$K$5000,"Yes")</f>
        <v>0</v>
      </c>
      <c r="CS16" s="26">
        <f>SUMIFS('Raw Data'!$E$3:$E$5000,'Raw Data'!$P$3:$P$5000,"W32",'Raw Data'!$K$3:$K$5000,"Yes")</f>
        <v>0</v>
      </c>
      <c r="CT16" s="25">
        <f>SUMIFS('Raw Data'!$M$3:$M$5000,'Raw Data'!$P$3:$P$5000,"W33",'Raw Data'!$K$3:$K$5000,"Yes")</f>
        <v>0</v>
      </c>
      <c r="CU16" s="25">
        <f>SUMIFS('Raw Data'!$N$3:$N$5000,'Raw Data'!$P$3:$P$5000,"W33",'Raw Data'!$K$3:$K$5000,"Yes")</f>
        <v>0</v>
      </c>
      <c r="CV16" s="26">
        <f>SUMIFS('Raw Data'!$E$3:$E$5000,'Raw Data'!$P$3:$P$5000,"W33",'Raw Data'!$K$3:$K$5000,"Yes")</f>
        <v>0</v>
      </c>
      <c r="CW16" s="25">
        <f>SUMIFS('Raw Data'!$M$3:$M$5000,'Raw Data'!$P$3:$P$5000,"W34",'Raw Data'!$K$3:$K$5000,"Yes")</f>
        <v>0</v>
      </c>
      <c r="CX16" s="25">
        <f>SUMIFS('Raw Data'!$N$3:$N$5000,'Raw Data'!$P$3:$P$5000,"W34",'Raw Data'!$K$3:$K$5000,"Yes")</f>
        <v>0</v>
      </c>
      <c r="CY16" s="26">
        <f>SUMIFS('Raw Data'!$E$3:$E$5000,'Raw Data'!$P$3:$P$5000,"W34",'Raw Data'!$K$3:$K$5000,"Yes")</f>
        <v>0</v>
      </c>
      <c r="CZ16" s="25">
        <f>SUMIFS('Raw Data'!$M$3:$M$5000,'Raw Data'!$P$3:$P$5000,"W35",'Raw Data'!$K$3:$K$5000,"Yes")</f>
        <v>0</v>
      </c>
      <c r="DA16" s="25">
        <f>SUMIFS('Raw Data'!$N$3:$N$5000,'Raw Data'!$P$3:$P$5000,"W35",'Raw Data'!$K$3:$K$5000,"Yes")</f>
        <v>0</v>
      </c>
      <c r="DB16" s="26">
        <f>SUMIFS('Raw Data'!$E$3:$E$5000,'Raw Data'!$P$3:$P$5000,"W35",'Raw Data'!$K$3:$K$5000,"Yes")</f>
        <v>0</v>
      </c>
      <c r="DC16" s="25">
        <f>SUMIFS('Raw Data'!$M$3:$M$5000,'Raw Data'!$P$3:$P$5000,"W36",'Raw Data'!$K$3:$K$5000,"Yes")</f>
        <v>0</v>
      </c>
      <c r="DD16" s="25">
        <f>SUMIFS('Raw Data'!$N$3:$N$5000,'Raw Data'!$P$3:$P$5000,"W36",'Raw Data'!$K$3:$K$5000,"Yes")</f>
        <v>0</v>
      </c>
      <c r="DE16" s="26">
        <f>SUMIFS('Raw Data'!$E$3:$E$5000,'Raw Data'!$P$3:$P$5000,"W36",'Raw Data'!$K$3:$K$5000,"Yes")</f>
        <v>0</v>
      </c>
      <c r="DF16" s="25">
        <f>SUMIFS('Raw Data'!$M$3:$M$5000,'Raw Data'!$P$3:$P$5000,"W37",'Raw Data'!$K$3:$K$5000,"Yes")</f>
        <v>0</v>
      </c>
      <c r="DG16" s="25">
        <f>SUMIFS('Raw Data'!$N$3:$N$5000,'Raw Data'!$P$3:$P$5000,"W37",'Raw Data'!$K$3:$K$5000,"Yes")</f>
        <v>0</v>
      </c>
      <c r="DH16" s="26">
        <f>SUMIFS('Raw Data'!$E$3:$E$5000,'Raw Data'!$P$3:$P$5000,"W37",'Raw Data'!$K$3:$K$5000,"Yes")</f>
        <v>0</v>
      </c>
      <c r="DI16" s="25">
        <f>SUMIFS('Raw Data'!$M$3:$M$5000,'Raw Data'!$P$3:$P$5000,"W38",'Raw Data'!$K$3:$K$5000,"Yes")</f>
        <v>0</v>
      </c>
      <c r="DJ16" s="25">
        <f>SUMIFS('Raw Data'!$N$3:$N$5000,'Raw Data'!$P$3:$P$5000,"W38",'Raw Data'!$K$3:$K$5000,"Yes")</f>
        <v>0</v>
      </c>
      <c r="DK16" s="26">
        <f>SUMIFS('Raw Data'!$E$3:$E$5000,'Raw Data'!$P$3:$P$5000,"W38",'Raw Data'!$K$3:$K$5000,"Yes")</f>
        <v>0</v>
      </c>
      <c r="DL16" s="25">
        <f>SUMIFS('Raw Data'!$M$3:$M$5000,'Raw Data'!$P$3:$P$5000,"W39",'Raw Data'!$K$3:$K$5000,"Yes")</f>
        <v>0</v>
      </c>
      <c r="DM16" s="25">
        <f>SUMIFS('Raw Data'!$N$3:$N$5000,'Raw Data'!$P$3:$P$5000,"W39",'Raw Data'!$K$3:$K$5000,"Yes")</f>
        <v>0</v>
      </c>
      <c r="DN16" s="26">
        <f>SUMIFS('Raw Data'!$E$3:$E$5000,'Raw Data'!$P$3:$P$5000,"W39",'Raw Data'!$K$3:$K$5000,"Yes")</f>
        <v>0</v>
      </c>
      <c r="DO16" s="25">
        <f>SUMIFS('Raw Data'!$M$3:$M$5000,'Raw Data'!$P$3:$P$5000,"W40",'Raw Data'!$K$3:$K$5000,"Yes")</f>
        <v>0</v>
      </c>
      <c r="DP16" s="25">
        <f>SUMIFS('Raw Data'!$N$3:$N$5000,'Raw Data'!$P$3:$P$5000,"W40",'Raw Data'!$K$3:$K$5000,"Yes")</f>
        <v>0</v>
      </c>
      <c r="DQ16" s="26">
        <f>SUMIFS('Raw Data'!$E$3:$E$5000,'Raw Data'!$P$3:$P$5000,"W40",'Raw Data'!$K$3:$K$5000,"Yes")</f>
        <v>0</v>
      </c>
      <c r="DR16" s="25">
        <f>SUMIFS('Raw Data'!$M$3:$M$5000,'Raw Data'!$P$3:$P$5000,"W41",'Raw Data'!$K$3:$K$5000,"Yes")</f>
        <v>0</v>
      </c>
      <c r="DS16" s="25">
        <f>SUMIFS('Raw Data'!$N$3:$N$5000,'Raw Data'!$P$3:$P$5000,"W41",'Raw Data'!$K$3:$K$5000,"Yes")</f>
        <v>0</v>
      </c>
      <c r="DT16" s="26">
        <f>SUMIFS('Raw Data'!$E$3:$E$5000,'Raw Data'!$P$3:$P$5000,"W41",'Raw Data'!$K$3:$K$5000,"Yes")</f>
        <v>0</v>
      </c>
      <c r="DU16" s="25">
        <f>SUMIFS('Raw Data'!$M$3:$M$5000,'Raw Data'!$P$3:$P$5000,"W42",'Raw Data'!$K$3:$K$5000,"Yes")</f>
        <v>0</v>
      </c>
      <c r="DV16" s="25">
        <f>SUMIFS('Raw Data'!$N$3:$N$5000,'Raw Data'!$P$3:$P$5000,"W42",'Raw Data'!$K$3:$K$5000,"Yes")</f>
        <v>0</v>
      </c>
      <c r="DW16" s="26">
        <f>SUMIFS('Raw Data'!$E$3:$E$5000,'Raw Data'!$P$3:$P$5000,"W42",'Raw Data'!$K$3:$K$5000,"Yes")</f>
        <v>0</v>
      </c>
      <c r="DX16" s="25">
        <f>SUMIFS('Raw Data'!$M$3:$M$5000,'Raw Data'!$P$3:$P$5000,"W43",'Raw Data'!$K$3:$K$5000,"Yes")</f>
        <v>0</v>
      </c>
      <c r="DY16" s="25">
        <f>SUMIFS('Raw Data'!$N$3:$N$5000,'Raw Data'!$P$3:$P$5000,"W43",'Raw Data'!$K$3:$K$5000,"Yes")</f>
        <v>0</v>
      </c>
      <c r="DZ16" s="26">
        <f>SUMIFS('Raw Data'!$E$3:$E$5000,'Raw Data'!$P$3:$P$5000,"W43",'Raw Data'!$K$3:$K$5000,"Yes")</f>
        <v>0</v>
      </c>
      <c r="EA16" s="25">
        <f>SUMIFS('Raw Data'!$M$3:$M$5000,'Raw Data'!$P$3:$P$5000,"W44",'Raw Data'!$K$3:$K$5000,"Yes")</f>
        <v>0</v>
      </c>
      <c r="EB16" s="25">
        <f>SUMIFS('Raw Data'!$N$3:$N$5000,'Raw Data'!$P$3:$P$5000,"W44",'Raw Data'!$K$3:$K$5000,"Yes")</f>
        <v>0</v>
      </c>
      <c r="EC16" s="26">
        <f>SUMIFS('Raw Data'!$E$3:$E$5000,'Raw Data'!$P$3:$P$5000,"W44",'Raw Data'!$K$3:$K$5000,"Yes")</f>
        <v>0</v>
      </c>
      <c r="ED16" s="25">
        <f>SUMIFS('Raw Data'!$M$3:$M$5000,'Raw Data'!$P$3:$P$5000,"W45",'Raw Data'!$K$3:$K$5000,"Yes")</f>
        <v>0</v>
      </c>
      <c r="EE16" s="25">
        <f>SUMIFS('Raw Data'!$N$3:$N$5000,'Raw Data'!$P$3:$P$5000,"W45",'Raw Data'!$K$3:$K$5000,"Yes")</f>
        <v>0</v>
      </c>
      <c r="EF16" s="26">
        <f>SUMIFS('Raw Data'!$E$3:$E$5000,'Raw Data'!$P$3:$P$5000,"W45",'Raw Data'!$K$3:$K$5000,"Yes")</f>
        <v>0</v>
      </c>
      <c r="EG16" s="25">
        <f>SUMIFS('Raw Data'!$M$3:$M$5000,'Raw Data'!$P$3:$P$5000,"W46",'Raw Data'!$K$3:$K$5000,"Yes")</f>
        <v>0</v>
      </c>
      <c r="EH16" s="25">
        <f>SUMIFS('Raw Data'!$N$3:$N$5000,'Raw Data'!$P$3:$P$5000,"W46",'Raw Data'!$K$3:$K$5000,"Yes")</f>
        <v>0</v>
      </c>
      <c r="EI16" s="26">
        <f>SUMIFS('Raw Data'!$E$3:$E$5000,'Raw Data'!$P$3:$P$5000,"W46",'Raw Data'!$K$3:$K$5000,"Yes")</f>
        <v>0</v>
      </c>
      <c r="EJ16" s="25">
        <f>SUMIFS('Raw Data'!$M$3:$M$5000,'Raw Data'!$P$3:$P$5000,"W47",'Raw Data'!$K$3:$K$5000,"Yes")</f>
        <v>0</v>
      </c>
      <c r="EK16" s="25">
        <f>SUMIFS('Raw Data'!$N$3:$N$5000,'Raw Data'!$P$3:$P$5000,"W47",'Raw Data'!$K$3:$K$5000,"Yes")</f>
        <v>0</v>
      </c>
      <c r="EL16" s="26">
        <f>SUMIFS('Raw Data'!$E$3:$E$5000,'Raw Data'!$P$3:$P$5000,"W47",'Raw Data'!$K$3:$K$5000,"Yes")</f>
        <v>0</v>
      </c>
      <c r="EM16" s="25">
        <f>SUMIFS('Raw Data'!$M$3:$M$5000,'Raw Data'!$P$3:$P$5000,"W48",'Raw Data'!$K$3:$K$5000,"Yes")</f>
        <v>0</v>
      </c>
      <c r="EN16" s="25">
        <f>SUMIFS('Raw Data'!$N$3:$N$5000,'Raw Data'!$P$3:$P$5000,"W48",'Raw Data'!$K$3:$K$5000,"Yes")</f>
        <v>0</v>
      </c>
      <c r="EO16" s="26">
        <f>SUMIFS('Raw Data'!$E$3:$E$5000,'Raw Data'!$P$3:$P$5000,"W48",'Raw Data'!$K$3:$K$5000,"Yes")</f>
        <v>0</v>
      </c>
      <c r="EP16" s="25">
        <f>SUMIFS('Raw Data'!$M$3:$M$5000,'Raw Data'!$P$3:$P$5000,"W49",'Raw Data'!$K$3:$K$5000,"Yes")</f>
        <v>0</v>
      </c>
      <c r="EQ16" s="25">
        <f>SUMIFS('Raw Data'!$N$3:$N$5000,'Raw Data'!$P$3:$P$5000,"W49",'Raw Data'!$K$3:$K$5000,"Yes")</f>
        <v>0</v>
      </c>
      <c r="ER16" s="26">
        <f>SUMIFS('Raw Data'!$E$3:$E$5000,'Raw Data'!$P$3:$P$5000,"W49",'Raw Data'!$K$3:$K$5000,"Yes")</f>
        <v>0</v>
      </c>
      <c r="ES16" s="25">
        <f>SUMIFS('Raw Data'!$M$3:$M$5000,'Raw Data'!$P$3:$P$5000,"W50",'Raw Data'!$K$3:$K$5000,"Yes")</f>
        <v>0</v>
      </c>
      <c r="ET16" s="25">
        <f>SUMIFS('Raw Data'!$N$3:$N$5000,'Raw Data'!$P$3:$P$5000,"W50",'Raw Data'!$K$3:$K$5000,"Yes")</f>
        <v>0</v>
      </c>
      <c r="EU16" s="26">
        <f>SUMIFS('Raw Data'!$E$3:$E$5000,'Raw Data'!$P$3:$P$5000,"W50",'Raw Data'!$K$3:$K$5000,"Yes")</f>
        <v>0</v>
      </c>
      <c r="EV16" s="25">
        <f>SUMIFS('Raw Data'!$M$3:$M$5000,'Raw Data'!$P$3:$P$5000,"W51",'Raw Data'!$K$3:$K$5000,"Yes")</f>
        <v>0</v>
      </c>
      <c r="EW16" s="25">
        <f>SUMIFS('Raw Data'!$N$3:$N$5000,'Raw Data'!$P$3:$P$5000,"W51",'Raw Data'!$K$3:$K$5000,"Yes")</f>
        <v>0</v>
      </c>
      <c r="EX16" s="26">
        <f>SUMIFS('Raw Data'!$E$3:$E$5000,'Raw Data'!$P$3:$P$5000,"W51",'Raw Data'!$K$3:$K$5000,"Yes")</f>
        <v>0</v>
      </c>
      <c r="EY16" s="25">
        <f>SUMIFS('Raw Data'!$M$3:$M$5000,'Raw Data'!$P$3:$P$5000,"W52",'Raw Data'!$K$3:$K$5000,"Yes")</f>
        <v>0</v>
      </c>
      <c r="EZ16" s="25">
        <f>SUMIFS('Raw Data'!$N$3:$N$5000,'Raw Data'!$P$3:$P$5000,"W52",'Raw Data'!$K$3:$K$5000,"Yes")</f>
        <v>0</v>
      </c>
      <c r="FA16" s="26">
        <f>SUMIFS('Raw Data'!$E$3:$E$5000,'Raw Data'!$P$3:$P$5000,"W52",'Raw Data'!$K$3:$K$5000,"Yes")</f>
        <v>0</v>
      </c>
      <c r="FB16" s="6">
        <f t="shared" ref="FB16:FD16" si="7">B16+E16+H16+K16+N16+Q16+T16+W16+Z16+AC16+AF16+AI16+AL16+AO16+AR16+AU16+AX16+BA16+BD16+BG16+BJ16+BM16+BP16+BS16+BV16+BY16+CB16+CE16+CH16+CK16+CN16+CQ16+CT16+CW16+CZ16+DC16+DF16+DI16+DL16+DO16+DR16+DU16+DX16+EA16+ED16+EG16+EJ16+EM16+EP16+ES16+EV16+EY16</f>
        <v>7194.8600000000006</v>
      </c>
      <c r="FC16" s="6">
        <f t="shared" si="7"/>
        <v>15635.57</v>
      </c>
      <c r="FD16" s="7">
        <f t="shared" si="7"/>
        <v>137</v>
      </c>
    </row>
    <row r="17" spans="1:160" ht="4.5" customHeight="1" x14ac:dyDescent="0.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</row>
    <row r="18" spans="1:160" ht="19.5" customHeight="1" x14ac:dyDescent="0.3">
      <c r="A18" s="3" t="s">
        <v>69</v>
      </c>
      <c r="B18" s="4">
        <f>SUMIFS('Raw Data'!$M$3:$M$5000,'Raw Data'!$P$3:$P$5000,"W1",'Raw Data'!$S$3:$S$5000,"&lt;&gt;")</f>
        <v>0</v>
      </c>
      <c r="C18" s="4">
        <f>SUMIFS('Raw Data'!$N$3:$N$5000,'Raw Data'!$P$3:$P$5000,"W1",'Raw Data'!$S$3:$S$5000,"&lt;&gt;")</f>
        <v>0</v>
      </c>
      <c r="D18" s="5">
        <f>SUMIFS('Raw Data'!$E$3:$E$5000,'Raw Data'!$P$3:$P$5000,"W1",'Raw Data'!$S$3:$S$5000,"&lt;&gt;")</f>
        <v>0</v>
      </c>
      <c r="E18" s="4">
        <f>SUMIFS('Raw Data'!$M$3:$M$5000,'Raw Data'!$P$3:$P$5000,"W2",'Raw Data'!$S$3:$S$5000,"&lt;&gt;")</f>
        <v>0</v>
      </c>
      <c r="F18" s="4">
        <f>SUMIFS('Raw Data'!$N$3:$N$5000,'Raw Data'!$P$3:$P$5000,"W2",'Raw Data'!$S$3:$S$5000,"&lt;&gt;")</f>
        <v>0</v>
      </c>
      <c r="G18" s="5">
        <f>SUMIFS('Raw Data'!$E$3:$E$5000,'Raw Data'!$P$3:$P$5000,"W2",'Raw Data'!$S$3:$S$5000,"&lt;&gt;")</f>
        <v>0</v>
      </c>
      <c r="H18" s="4">
        <f>SUMIFS('Raw Data'!$M$3:$M$5000,'Raw Data'!$P$3:$P$5000,"W3",'Raw Data'!$S$3:$S$5000,"&lt;&gt;")</f>
        <v>0</v>
      </c>
      <c r="I18" s="4">
        <f>SUMIFS('Raw Data'!$N$3:$N$5000,'Raw Data'!$P$3:$P$5000,"W3",'Raw Data'!$S$3:$S$5000,"&lt;&gt;")</f>
        <v>0</v>
      </c>
      <c r="J18" s="5">
        <f>SUMIFS('Raw Data'!$E$3:$E$5000,'Raw Data'!$P$3:$P$5000,"W3",'Raw Data'!$S$3:$S$5000,"&lt;&gt;")</f>
        <v>0</v>
      </c>
      <c r="K18" s="4">
        <f>SUMIFS('Raw Data'!$M$3:$M$5000,'Raw Data'!$P$3:$P$5000,"W4",'Raw Data'!$S$3:$S$5000,"&lt;&gt;")</f>
        <v>0</v>
      </c>
      <c r="L18" s="4">
        <f>SUMIFS('Raw Data'!$N$3:$N$5000,'Raw Data'!$P$3:$P$5000,"W4",'Raw Data'!$S$3:$S$5000,"&lt;&gt;")</f>
        <v>0</v>
      </c>
      <c r="M18" s="5">
        <f>SUMIFS('Raw Data'!$E$3:$E$5000,'Raw Data'!$P$3:$P$5000,"W4",'Raw Data'!$S$3:$S$5000,"&lt;&gt;")</f>
        <v>0</v>
      </c>
      <c r="N18" s="4">
        <f>SUMIFS('Raw Data'!$M$3:$M$5000,'Raw Data'!$P$3:$P$5000,"W5",'Raw Data'!$S$3:$S$5000,"&lt;&gt;")</f>
        <v>0</v>
      </c>
      <c r="O18" s="4">
        <f>SUMIFS('Raw Data'!$N$3:$N$5000,'Raw Data'!$P$3:$P$5000,"W5",'Raw Data'!$S$3:$S$5000,"&lt;&gt;")</f>
        <v>0</v>
      </c>
      <c r="P18" s="5">
        <f>SUMIFS('Raw Data'!$E$3:$E$5000,'Raw Data'!$P$3:$P$5000,"W5",'Raw Data'!$S$3:$S$5000,"&lt;&gt;")</f>
        <v>0</v>
      </c>
      <c r="Q18" s="4">
        <f>SUMIFS('Raw Data'!$M$3:$M$5000,'Raw Data'!$P$3:$P$5000,"W6",'Raw Data'!$S$3:$S$5000,"&lt;&gt;")</f>
        <v>0</v>
      </c>
      <c r="R18" s="4">
        <f>SUMIFS('Raw Data'!$N$3:$N$5000,'Raw Data'!$P$3:$P$5000,"W6",'Raw Data'!$S$3:$S$5000,"&lt;&gt;")</f>
        <v>0</v>
      </c>
      <c r="S18" s="5">
        <f>SUMIFS('Raw Data'!$E$3:$E$5000,'Raw Data'!$P$3:$P$5000,"W6",'Raw Data'!$S$3:$S$5000,"&lt;&gt;")</f>
        <v>0</v>
      </c>
      <c r="T18" s="4">
        <f>SUMIFS('Raw Data'!$M$3:$M$5000,'Raw Data'!$P$3:$P$5000,"W7",'Raw Data'!$S$3:$S$5000,"&lt;&gt;")</f>
        <v>0</v>
      </c>
      <c r="U18" s="4">
        <f>SUMIFS('Raw Data'!$N$3:$N$5000,'Raw Data'!$P$3:$P$5000,"W7",'Raw Data'!$S$3:$S$5000,"&lt;&gt;")</f>
        <v>0</v>
      </c>
      <c r="V18" s="5">
        <f>SUMIFS('Raw Data'!$E$3:$E$5000,'Raw Data'!$P$3:$P$5000,"W7",'Raw Data'!$S$3:$S$5000,"&lt;&gt;")</f>
        <v>0</v>
      </c>
      <c r="W18" s="4">
        <f>SUMIFS('Raw Data'!$M$3:$M$5000,'Raw Data'!$P$3:$P$5000,"W8",'Raw Data'!$S$3:$S$5000,"&lt;&gt;")</f>
        <v>0</v>
      </c>
      <c r="X18" s="4">
        <f>SUMIFS('Raw Data'!$N$3:$N$5000,'Raw Data'!$P$3:$P$5000,"W8",'Raw Data'!$S$3:$S$5000,"&lt;&gt;")</f>
        <v>0</v>
      </c>
      <c r="Y18" s="5">
        <f>SUMIFS('Raw Data'!$E$3:$E$5000,'Raw Data'!$P$3:$P$5000,"W8",'Raw Data'!$S$3:$S$5000,"&lt;&gt;")</f>
        <v>0</v>
      </c>
      <c r="Z18" s="4">
        <f>SUMIFS('Raw Data'!$M$3:$M$5000,'Raw Data'!$P$3:$P$5000,"W9",'Raw Data'!$S$3:$S$5000,"&lt;&gt;")</f>
        <v>0</v>
      </c>
      <c r="AA18" s="4">
        <f>SUMIFS('Raw Data'!$N$3:$N$5000,'Raw Data'!$P$3:$P$5000,"W9",'Raw Data'!$S$3:$S$5000,"&lt;&gt;")</f>
        <v>0</v>
      </c>
      <c r="AB18" s="5">
        <f>SUMIFS('Raw Data'!$E$3:$E$5000,'Raw Data'!$P$3:$P$5000,"W9",'Raw Data'!$S$3:$S$5000,"&lt;&gt;")</f>
        <v>0</v>
      </c>
      <c r="AC18" s="4">
        <f>SUMIFS('Raw Data'!$M$3:$M$5000,'Raw Data'!$P$3:$P$5000,"W10",'Raw Data'!$S$3:$S$5000,"&lt;&gt;")</f>
        <v>553.95999999999992</v>
      </c>
      <c r="AD18" s="4">
        <f>SUMIFS('Raw Data'!$N$3:$N$5000,'Raw Data'!$P$3:$P$5000,"W10",'Raw Data'!$S$3:$S$5000,"&lt;&gt;")</f>
        <v>1178.6199999999999</v>
      </c>
      <c r="AE18" s="5">
        <f>SUMIFS('Raw Data'!$E$3:$E$5000,'Raw Data'!$P$3:$P$5000,"W10",'Raw Data'!$S$3:$S$5000,"&lt;&gt;")</f>
        <v>6</v>
      </c>
      <c r="AF18" s="4">
        <f>SUMIFS('Raw Data'!$M$3:$M$5000,'Raw Data'!$P$3:$P$5000,"W11",'Raw Data'!$S$3:$S$5000,"&lt;&gt;")</f>
        <v>0</v>
      </c>
      <c r="AG18" s="4">
        <f>SUMIFS('Raw Data'!$N$3:$N$5000,'Raw Data'!$P$3:$P$5000,"W11",'Raw Data'!$S$3:$S$5000,"&lt;&gt;")</f>
        <v>0</v>
      </c>
      <c r="AH18" s="5">
        <f>SUMIFS('Raw Data'!$E$3:$E$5000,'Raw Data'!$P$3:$P$5000,"W11",'Raw Data'!$S$3:$S$5000,"&lt;&gt;")</f>
        <v>0</v>
      </c>
      <c r="AI18" s="4">
        <f>SUMIFS('Raw Data'!$M$3:$M$5000,'Raw Data'!$P$3:$P$5000,"W12",'Raw Data'!$S$3:$S$5000,"&lt;&gt;")</f>
        <v>0</v>
      </c>
      <c r="AJ18" s="4">
        <f>SUMIFS('Raw Data'!$N$3:$N$5000,'Raw Data'!$P$3:$P$5000,"W12",'Raw Data'!$S$3:$S$5000,"&lt;&gt;")</f>
        <v>0</v>
      </c>
      <c r="AK18" s="5">
        <f>SUMIFS('Raw Data'!$E$3:$E$5000,'Raw Data'!$P$3:$P$5000,"W12",'Raw Data'!$S$3:$S$5000,"&lt;&gt;")</f>
        <v>0</v>
      </c>
      <c r="AL18" s="4">
        <f>SUMIFS('Raw Data'!$M$3:$M$5000,'Raw Data'!$P$3:$P$5000,"W13",'Raw Data'!$S$3:$S$5000,"&lt;&gt;")</f>
        <v>0</v>
      </c>
      <c r="AM18" s="4">
        <f>SUMIFS('Raw Data'!$N$3:$N$5000,'Raw Data'!$P$3:$P$5000,"W13",'Raw Data'!$S$3:$S$5000,"&lt;&gt;")</f>
        <v>0</v>
      </c>
      <c r="AN18" s="5">
        <f>SUMIFS('Raw Data'!$E$3:$E$5000,'Raw Data'!$P$3:$P$5000,"W13",'Raw Data'!$S$3:$S$5000,"&lt;&gt;")</f>
        <v>0</v>
      </c>
      <c r="AO18" s="4">
        <f>SUMIFS('Raw Data'!$M$3:$M$5000,'Raw Data'!$P$3:$P$5000,"W14",'Raw Data'!$S$3:$S$5000,"&lt;&gt;")</f>
        <v>0</v>
      </c>
      <c r="AP18" s="4">
        <f>SUMIFS('Raw Data'!$N$3:$N$5000,'Raw Data'!$P$3:$P$5000,"W14",'Raw Data'!$S$3:$S$5000,"&lt;&gt;")</f>
        <v>0</v>
      </c>
      <c r="AQ18" s="5">
        <f>SUMIFS('Raw Data'!$E$3:$E$5000,'Raw Data'!$P$3:$P$5000,"W14",'Raw Data'!$S$3:$S$5000,"&lt;&gt;")</f>
        <v>0</v>
      </c>
      <c r="AR18" s="4">
        <f>SUMIFS('Raw Data'!$M$3:$M$5000,'Raw Data'!$P$3:$P$5000,"W15",'Raw Data'!$S$3:$S$5000,"&lt;&gt;")</f>
        <v>0</v>
      </c>
      <c r="AS18" s="4">
        <f>SUMIFS('Raw Data'!$N$3:$N$5000,'Raw Data'!$P$3:$P$5000,"W15",'Raw Data'!$S$3:$S$5000,"&lt;&gt;")</f>
        <v>0</v>
      </c>
      <c r="AT18" s="5">
        <f>SUMIFS('Raw Data'!$E$3:$E$5000,'Raw Data'!$P$3:$P$5000,"W15",'Raw Data'!$S$3:$S$5000,"&lt;&gt;")</f>
        <v>0</v>
      </c>
      <c r="AU18" s="4">
        <f>SUMIFS('Raw Data'!$M$3:$M$5000,'Raw Data'!$P$3:$P$5000,"W16",'Raw Data'!$S$3:$S$5000,"&lt;&gt;")</f>
        <v>0</v>
      </c>
      <c r="AV18" s="4">
        <f>SUMIFS('Raw Data'!$N$3:$N$5000,'Raw Data'!$P$3:$P$5000,"W16",'Raw Data'!$S$3:$S$5000,"&lt;&gt;")</f>
        <v>0</v>
      </c>
      <c r="AW18" s="5">
        <f>SUMIFS('Raw Data'!$E$3:$E$5000,'Raw Data'!$P$3:$P$5000,"W16",'Raw Data'!$S$3:$S$5000,"&lt;&gt;")</f>
        <v>0</v>
      </c>
      <c r="AX18" s="4">
        <f>SUMIFS('Raw Data'!$M$3:$M$5000,'Raw Data'!$P$3:$P$5000,"W17",'Raw Data'!$S$3:$S$5000,"&lt;&gt;")</f>
        <v>0</v>
      </c>
      <c r="AY18" s="4">
        <f>SUMIFS('Raw Data'!$N$3:$N$5000,'Raw Data'!$P$3:$P$5000,"W17",'Raw Data'!$S$3:$S$5000,"&lt;&gt;")</f>
        <v>0</v>
      </c>
      <c r="AZ18" s="5">
        <f>SUMIFS('Raw Data'!$E$3:$E$5000,'Raw Data'!$P$3:$P$5000,"W17",'Raw Data'!$S$3:$S$5000,"&lt;&gt;")</f>
        <v>0</v>
      </c>
      <c r="BA18" s="4">
        <f>SUMIFS('Raw Data'!$M$3:$M$5000,'Raw Data'!$P$3:$P$5000,"W18",'Raw Data'!$S$3:$S$5000,"&lt;&gt;")</f>
        <v>0</v>
      </c>
      <c r="BB18" s="4">
        <f>SUMIFS('Raw Data'!$N$3:$N$5000,'Raw Data'!$P$3:$P$5000,"W18",'Raw Data'!$S$3:$S$5000,"&lt;&gt;")</f>
        <v>0</v>
      </c>
      <c r="BC18" s="5">
        <f>SUMIFS('Raw Data'!$E$3:$E$5000,'Raw Data'!$P$3:$P$5000,"W18",'Raw Data'!$S$3:$S$5000,"&lt;&gt;")</f>
        <v>0</v>
      </c>
      <c r="BD18" s="4">
        <f>SUMIFS('Raw Data'!$M$3:$M$5000,'Raw Data'!$P$3:$P$5000,"W19",'Raw Data'!$S$3:$S$5000,"&lt;&gt;")</f>
        <v>0</v>
      </c>
      <c r="BE18" s="4">
        <f>SUMIFS('Raw Data'!$N$3:$N$5000,'Raw Data'!$P$3:$P$5000,"W19",'Raw Data'!$S$3:$S$5000,"&lt;&gt;")</f>
        <v>0</v>
      </c>
      <c r="BF18" s="5">
        <f>SUMIFS('Raw Data'!$E$3:$E$5000,'Raw Data'!$P$3:$P$5000,"W19",'Raw Data'!$S$3:$S$5000,"&lt;&gt;")</f>
        <v>0</v>
      </c>
      <c r="BG18" s="4">
        <f>SUMIFS('Raw Data'!$M$3:$M$5000,'Raw Data'!$P$3:$P$5000,"W20",'Raw Data'!$S$3:$S$5000,"&lt;&gt;")</f>
        <v>0</v>
      </c>
      <c r="BH18" s="4">
        <f>SUMIFS('Raw Data'!$N$3:$N$5000,'Raw Data'!$P$3:$P$5000,"W20",'Raw Data'!$S$3:$S$5000,"&lt;&gt;")</f>
        <v>0</v>
      </c>
      <c r="BI18" s="5">
        <f>SUMIFS('Raw Data'!$E$3:$E$5000,'Raw Data'!$P$3:$P$5000,"W20",'Raw Data'!$S$3:$S$5000,"&lt;&gt;")</f>
        <v>0</v>
      </c>
      <c r="BJ18" s="4">
        <f>SUMIFS('Raw Data'!$M$3:$M$5000,'Raw Data'!$P$3:$P$5000,"W21",'Raw Data'!$S$3:$S$5000,"&lt;&gt;")</f>
        <v>0</v>
      </c>
      <c r="BK18" s="4">
        <f>SUMIFS('Raw Data'!$N$3:$N$5000,'Raw Data'!$P$3:$P$5000,"W21",'Raw Data'!$S$3:$S$5000,"&lt;&gt;")</f>
        <v>0</v>
      </c>
      <c r="BL18" s="5">
        <f>SUMIFS('Raw Data'!$E$3:$E$5000,'Raw Data'!$P$3:$P$5000,"W21",'Raw Data'!$S$3:$S$5000,"&lt;&gt;")</f>
        <v>0</v>
      </c>
      <c r="BM18" s="4">
        <f>SUMIFS('Raw Data'!$M$3:$M$5000,'Raw Data'!$P$3:$P$5000,"W22",'Raw Data'!$S$3:$S$5000,"&lt;&gt;")</f>
        <v>0</v>
      </c>
      <c r="BN18" s="4">
        <f>SUMIFS('Raw Data'!$N$3:$N$5000,'Raw Data'!$P$3:$P$5000,"W22",'Raw Data'!$S$3:$S$5000,"&lt;&gt;")</f>
        <v>0</v>
      </c>
      <c r="BO18" s="5">
        <f>SUMIFS('Raw Data'!$E$3:$E$5000,'Raw Data'!$P$3:$P$5000,"W22",'Raw Data'!$S$3:$S$5000,"&lt;&gt;")</f>
        <v>0</v>
      </c>
      <c r="BP18" s="4">
        <f>SUMIFS('Raw Data'!$M$3:$M$5000,'Raw Data'!$P$3:$P$5000,"W23",'Raw Data'!$S$3:$S$5000,"&lt;&gt;")</f>
        <v>0</v>
      </c>
      <c r="BQ18" s="4">
        <f>SUMIFS('Raw Data'!$N$3:$N$5000,'Raw Data'!$P$3:$P$5000,"W23",'Raw Data'!$S$3:$S$5000,"&lt;&gt;")</f>
        <v>0</v>
      </c>
      <c r="BR18" s="5">
        <f>SUMIFS('Raw Data'!$E$3:$E$5000,'Raw Data'!$P$3:$P$5000,"W23",'Raw Data'!$S$3:$S$5000,"&lt;&gt;")</f>
        <v>0</v>
      </c>
      <c r="BS18" s="4">
        <f>SUMIFS('Raw Data'!$M$3:$M$5000,'Raw Data'!$P$3:$P$5000,"W24",'Raw Data'!$S$3:$S$5000,"&lt;&gt;")</f>
        <v>0</v>
      </c>
      <c r="BT18" s="4">
        <f>SUMIFS('Raw Data'!$N$3:$N$5000,'Raw Data'!$P$3:$P$5000,"W24",'Raw Data'!$S$3:$S$5000,"&lt;&gt;")</f>
        <v>0</v>
      </c>
      <c r="BU18" s="5">
        <f>SUMIFS('Raw Data'!$E$3:$E$5000,'Raw Data'!$P$3:$P$5000,"W24",'Raw Data'!$S$3:$S$5000,"&lt;&gt;")</f>
        <v>0</v>
      </c>
      <c r="BV18" s="4">
        <f>SUMIFS('Raw Data'!$M$3:$M$5000,'Raw Data'!$P$3:$P$5000,"W25",'Raw Data'!$S$3:$S$5000,"&lt;&gt;")</f>
        <v>0</v>
      </c>
      <c r="BW18" s="4">
        <f>SUMIFS('Raw Data'!$N$3:$N$5000,'Raw Data'!$P$3:$P$5000,"W25",'Raw Data'!$S$3:$S$5000,"&lt;&gt;")</f>
        <v>0</v>
      </c>
      <c r="BX18" s="5">
        <f>SUMIFS('Raw Data'!$E$3:$E$5000,'Raw Data'!$P$3:$P$5000,"W25",'Raw Data'!$S$3:$S$5000,"&lt;&gt;")</f>
        <v>0</v>
      </c>
      <c r="BY18" s="4">
        <f>SUMIFS('Raw Data'!$M$3:$M$5000,'Raw Data'!$P$3:$P$5000,"W26",'Raw Data'!$S$3:$S$5000,"&lt;&gt;")</f>
        <v>0</v>
      </c>
      <c r="BZ18" s="4">
        <f>SUMIFS('Raw Data'!$N$3:$N$5000,'Raw Data'!$P$3:$P$5000,"W26",'Raw Data'!$S$3:$S$5000,"&lt;&gt;")</f>
        <v>0</v>
      </c>
      <c r="CA18" s="5">
        <f>SUMIFS('Raw Data'!$E$3:$E$5000,'Raw Data'!$P$3:$P$5000,"W26",'Raw Data'!$S$3:$S$5000,"&lt;&gt;")</f>
        <v>0</v>
      </c>
      <c r="CB18" s="4">
        <f>SUMIFS('Raw Data'!$M$3:$M$5000,'Raw Data'!$P$3:$P$5000,"W27",'Raw Data'!$S$3:$S$5000,"&lt;&gt;")</f>
        <v>0</v>
      </c>
      <c r="CC18" s="4">
        <f>SUMIFS('Raw Data'!$N$3:$N$5000,'Raw Data'!$P$3:$P$5000,"W27",'Raw Data'!$S$3:$S$5000,"&lt;&gt;")</f>
        <v>0</v>
      </c>
      <c r="CD18" s="5">
        <f>SUMIFS('Raw Data'!$E$3:$E$5000,'Raw Data'!$P$3:$P$5000,"W27",'Raw Data'!$S$3:$S$5000,"&lt;&gt;")</f>
        <v>0</v>
      </c>
      <c r="CE18" s="4">
        <f>SUMIFS('Raw Data'!$M$3:$M$5000,'Raw Data'!$P$3:$P$5000,"W28",'Raw Data'!$S$3:$S$5000,"&lt;&gt;")</f>
        <v>0</v>
      </c>
      <c r="CF18" s="4">
        <f>SUMIFS('Raw Data'!$N$3:$N$5000,'Raw Data'!$P$3:$P$5000,"W28",'Raw Data'!$S$3:$S$5000,"&lt;&gt;")</f>
        <v>0</v>
      </c>
      <c r="CG18" s="5">
        <f>SUMIFS('Raw Data'!$E$3:$E$5000,'Raw Data'!$P$3:$P$5000,"W28",'Raw Data'!$S$3:$S$5000,"&lt;&gt;")</f>
        <v>0</v>
      </c>
      <c r="CH18" s="4">
        <f>SUMIFS('Raw Data'!$M$3:$M$5000,'Raw Data'!$P$3:$P$5000,"W29",'Raw Data'!$S$3:$S$5000,"&lt;&gt;")</f>
        <v>0</v>
      </c>
      <c r="CI18" s="4">
        <f>SUMIFS('Raw Data'!$N$3:$N$5000,'Raw Data'!$P$3:$P$5000,"W29",'Raw Data'!$S$3:$S$5000,"&lt;&gt;")</f>
        <v>0</v>
      </c>
      <c r="CJ18" s="5">
        <f>SUMIFS('Raw Data'!$E$3:$E$5000,'Raw Data'!$P$3:$P$5000,"W29",'Raw Data'!$S$3:$S$5000,"&lt;&gt;")</f>
        <v>0</v>
      </c>
      <c r="CK18" s="4">
        <f>SUMIFS('Raw Data'!$M$3:$M$5000,'Raw Data'!$P$3:$P$5000,"W30",'Raw Data'!$S$3:$S$5000,"&lt;&gt;")</f>
        <v>0</v>
      </c>
      <c r="CL18" s="4">
        <f>SUMIFS('Raw Data'!$N$3:$N$5000,'Raw Data'!$P$3:$P$5000,"W30",'Raw Data'!$S$3:$S$5000,"&lt;&gt;")</f>
        <v>0</v>
      </c>
      <c r="CM18" s="5">
        <f>SUMIFS('Raw Data'!$E$3:$E$5000,'Raw Data'!$P$3:$P$5000,"W30",'Raw Data'!$S$3:$S$5000,"&lt;&gt;")</f>
        <v>0</v>
      </c>
      <c r="CN18" s="4">
        <f>SUMIFS('Raw Data'!$M$3:$M$5000,'Raw Data'!$P$3:$P$5000,"W31",'Raw Data'!$S$3:$S$5000,"&lt;&gt;")</f>
        <v>0</v>
      </c>
      <c r="CO18" s="4">
        <f>SUMIFS('Raw Data'!$N$3:$N$5000,'Raw Data'!$P$3:$P$5000,"W31",'Raw Data'!$S$3:$S$5000,"&lt;&gt;")</f>
        <v>0</v>
      </c>
      <c r="CP18" s="5">
        <f>SUMIFS('Raw Data'!$E$3:$E$5000,'Raw Data'!$P$3:$P$5000,"W31",'Raw Data'!$S$3:$S$5000,"&lt;&gt;")</f>
        <v>0</v>
      </c>
      <c r="CQ18" s="4">
        <f>SUMIFS('Raw Data'!$M$3:$M$5000,'Raw Data'!$P$3:$P$5000,"W32",'Raw Data'!$S$3:$S$5000,"&lt;&gt;")</f>
        <v>0</v>
      </c>
      <c r="CR18" s="4">
        <f>SUMIFS('Raw Data'!$N$3:$N$5000,'Raw Data'!$P$3:$P$5000,"W32",'Raw Data'!$S$3:$S$5000,"&lt;&gt;")</f>
        <v>0</v>
      </c>
      <c r="CS18" s="5">
        <f>SUMIFS('Raw Data'!$E$3:$E$5000,'Raw Data'!$P$3:$P$5000,"W32",'Raw Data'!$S$3:$S$5000,"&lt;&gt;")</f>
        <v>0</v>
      </c>
      <c r="CT18" s="4">
        <f>SUMIFS('Raw Data'!$M$3:$M$5000,'Raw Data'!$P$3:$P$5000,"W33",'Raw Data'!$S$3:$S$5000,"&lt;&gt;")</f>
        <v>0</v>
      </c>
      <c r="CU18" s="4">
        <f>SUMIFS('Raw Data'!$N$3:$N$5000,'Raw Data'!$P$3:$P$5000,"W33",'Raw Data'!$S$3:$S$5000,"&lt;&gt;")</f>
        <v>0</v>
      </c>
      <c r="CV18" s="5">
        <f>SUMIFS('Raw Data'!$E$3:$E$5000,'Raw Data'!$P$3:$P$5000,"W33",'Raw Data'!$S$3:$S$5000,"&lt;&gt;")</f>
        <v>0</v>
      </c>
      <c r="CW18" s="4">
        <f>SUMIFS('Raw Data'!$M$3:$M$5000,'Raw Data'!$P$3:$P$5000,"W34",'Raw Data'!$S$3:$S$5000,"&lt;&gt;")</f>
        <v>0</v>
      </c>
      <c r="CX18" s="4">
        <f>SUMIFS('Raw Data'!$N$3:$N$5000,'Raw Data'!$P$3:$P$5000,"W34",'Raw Data'!$S$3:$S$5000,"&lt;&gt;")</f>
        <v>0</v>
      </c>
      <c r="CY18" s="5">
        <f>SUMIFS('Raw Data'!$E$3:$E$5000,'Raw Data'!$P$3:$P$5000,"W34",'Raw Data'!$S$3:$S$5000,"&lt;&gt;")</f>
        <v>0</v>
      </c>
      <c r="CZ18" s="4">
        <f>SUMIFS('Raw Data'!$M$3:$M$5000,'Raw Data'!$P$3:$P$5000,"W35",'Raw Data'!$S$3:$S$5000,"&lt;&gt;")</f>
        <v>0</v>
      </c>
      <c r="DA18" s="4">
        <f>SUMIFS('Raw Data'!$N$3:$N$5000,'Raw Data'!$P$3:$P$5000,"W35",'Raw Data'!$S$3:$S$5000,"&lt;&gt;")</f>
        <v>0</v>
      </c>
      <c r="DB18" s="5">
        <f>SUMIFS('Raw Data'!$E$3:$E$5000,'Raw Data'!$P$3:$P$5000,"W35",'Raw Data'!$S$3:$S$5000,"&lt;&gt;")</f>
        <v>0</v>
      </c>
      <c r="DC18" s="4">
        <f>SUMIFS('Raw Data'!$M$3:$M$5000,'Raw Data'!$P$3:$P$5000,"W36",'Raw Data'!$S$3:$S$5000,"&lt;&gt;")</f>
        <v>0</v>
      </c>
      <c r="DD18" s="4">
        <f>SUMIFS('Raw Data'!$N$3:$N$5000,'Raw Data'!$P$3:$P$5000,"W36",'Raw Data'!$S$3:$S$5000,"&lt;&gt;")</f>
        <v>0</v>
      </c>
      <c r="DE18" s="5">
        <f>SUMIFS('Raw Data'!$E$3:$E$5000,'Raw Data'!$P$3:$P$5000,"W36",'Raw Data'!$S$3:$S$5000,"&lt;&gt;")</f>
        <v>0</v>
      </c>
      <c r="DF18" s="4">
        <f>SUMIFS('Raw Data'!$M$3:$M$5000,'Raw Data'!$P$3:$P$5000,"W37",'Raw Data'!$S$3:$S$5000,"&lt;&gt;")</f>
        <v>0</v>
      </c>
      <c r="DG18" s="4">
        <f>SUMIFS('Raw Data'!$N$3:$N$5000,'Raw Data'!$P$3:$P$5000,"W37",'Raw Data'!$S$3:$S$5000,"&lt;&gt;")</f>
        <v>0</v>
      </c>
      <c r="DH18" s="5">
        <f>SUMIFS('Raw Data'!$E$3:$E$5000,'Raw Data'!$P$3:$P$5000,"W37",'Raw Data'!$S$3:$S$5000,"&lt;&gt;")</f>
        <v>0</v>
      </c>
      <c r="DI18" s="4">
        <f>SUMIFS('Raw Data'!$M$3:$M$5000,'Raw Data'!$P$3:$P$5000,"W38",'Raw Data'!$S$3:$S$5000,"&lt;&gt;")</f>
        <v>0</v>
      </c>
      <c r="DJ18" s="4">
        <f>SUMIFS('Raw Data'!$N$3:$N$5000,'Raw Data'!$P$3:$P$5000,"W38",'Raw Data'!$S$3:$S$5000,"&lt;&gt;")</f>
        <v>0</v>
      </c>
      <c r="DK18" s="5">
        <f>SUMIFS('Raw Data'!$E$3:$E$5000,'Raw Data'!$P$3:$P$5000,"W38",'Raw Data'!$S$3:$S$5000,"&lt;&gt;")</f>
        <v>0</v>
      </c>
      <c r="DL18" s="4">
        <f>SUMIFS('Raw Data'!$M$3:$M$5000,'Raw Data'!$P$3:$P$5000,"W39",'Raw Data'!$S$3:$S$5000,"&lt;&gt;")</f>
        <v>0</v>
      </c>
      <c r="DM18" s="4">
        <f>SUMIFS('Raw Data'!$N$3:$N$5000,'Raw Data'!$P$3:$P$5000,"W39",'Raw Data'!$S$3:$S$5000,"&lt;&gt;")</f>
        <v>0</v>
      </c>
      <c r="DN18" s="5">
        <f>SUMIFS('Raw Data'!$E$3:$E$5000,'Raw Data'!$P$3:$P$5000,"W39",'Raw Data'!$S$3:$S$5000,"&lt;&gt;")</f>
        <v>0</v>
      </c>
      <c r="DO18" s="4">
        <f>SUMIFS('Raw Data'!$M$3:$M$5000,'Raw Data'!$P$3:$P$5000,"W40",'Raw Data'!$S$3:$S$5000,"&lt;&gt;")</f>
        <v>0</v>
      </c>
      <c r="DP18" s="4">
        <f>SUMIFS('Raw Data'!$N$3:$N$5000,'Raw Data'!$P$3:$P$5000,"W40",'Raw Data'!$S$3:$S$5000,"&lt;&gt;")</f>
        <v>0</v>
      </c>
      <c r="DQ18" s="5">
        <f>SUMIFS('Raw Data'!$E$3:$E$5000,'Raw Data'!$P$3:$P$5000,"W40",'Raw Data'!$S$3:$S$5000,"&lt;&gt;")</f>
        <v>0</v>
      </c>
      <c r="DR18" s="4">
        <f>SUMIFS('Raw Data'!$M$3:$M$5000,'Raw Data'!$P$3:$P$5000,"W41",'Raw Data'!$S$3:$S$5000,"&lt;&gt;")</f>
        <v>0</v>
      </c>
      <c r="DS18" s="4">
        <f>SUMIFS('Raw Data'!$N$3:$N$5000,'Raw Data'!$P$3:$P$5000,"W41",'Raw Data'!$S$3:$S$5000,"&lt;&gt;")</f>
        <v>0</v>
      </c>
      <c r="DT18" s="5">
        <f>SUMIFS('Raw Data'!$E$3:$E$5000,'Raw Data'!$P$3:$P$5000,"W41",'Raw Data'!$S$3:$S$5000,"&lt;&gt;")</f>
        <v>0</v>
      </c>
      <c r="DU18" s="4">
        <f>SUMIFS('Raw Data'!$M$3:$M$5000,'Raw Data'!$P$3:$P$5000,"W42",'Raw Data'!$S$3:$S$5000,"&lt;&gt;")</f>
        <v>0</v>
      </c>
      <c r="DV18" s="4">
        <f>SUMIFS('Raw Data'!$N$3:$N$5000,'Raw Data'!$P$3:$P$5000,"W42",'Raw Data'!$S$3:$S$5000,"&lt;&gt;")</f>
        <v>0</v>
      </c>
      <c r="DW18" s="5">
        <f>SUMIFS('Raw Data'!$E$3:$E$5000,'Raw Data'!$P$3:$P$5000,"W42",'Raw Data'!$S$3:$S$5000,"&lt;&gt;")</f>
        <v>0</v>
      </c>
      <c r="DX18" s="4">
        <f>SUMIFS('Raw Data'!$M$3:$M$5000,'Raw Data'!$P$3:$P$5000,"W43",'Raw Data'!$S$3:$S$5000,"&lt;&gt;")</f>
        <v>0</v>
      </c>
      <c r="DY18" s="4">
        <f>SUMIFS('Raw Data'!$N$3:$N$5000,'Raw Data'!$P$3:$P$5000,"W43",'Raw Data'!$S$3:$S$5000,"&lt;&gt;")</f>
        <v>0</v>
      </c>
      <c r="DZ18" s="5">
        <f>SUMIFS('Raw Data'!$E$3:$E$5000,'Raw Data'!$P$3:$P$5000,"W43",'Raw Data'!$S$3:$S$5000,"&lt;&gt;")</f>
        <v>0</v>
      </c>
      <c r="EA18" s="4">
        <f>SUMIFS('Raw Data'!$M$3:$M$5000,'Raw Data'!$P$3:$P$5000,"W44",'Raw Data'!$S$3:$S$5000,"&lt;&gt;")</f>
        <v>0</v>
      </c>
      <c r="EB18" s="4">
        <f>SUMIFS('Raw Data'!$N$3:$N$5000,'Raw Data'!$P$3:$P$5000,"W44",'Raw Data'!$S$3:$S$5000,"&lt;&gt;")</f>
        <v>0</v>
      </c>
      <c r="EC18" s="5">
        <f>SUMIFS('Raw Data'!$E$3:$E$5000,'Raw Data'!$P$3:$P$5000,"W44",'Raw Data'!$S$3:$S$5000,"&lt;&gt;")</f>
        <v>0</v>
      </c>
      <c r="ED18" s="4">
        <f>SUMIFS('Raw Data'!$M$3:$M$5000,'Raw Data'!$P$3:$P$5000,"W45",'Raw Data'!$S$3:$S$5000,"&lt;&gt;")</f>
        <v>0</v>
      </c>
      <c r="EE18" s="4">
        <f>SUMIFS('Raw Data'!$N$3:$N$5000,'Raw Data'!$P$3:$P$5000,"W45",'Raw Data'!$S$3:$S$5000,"&lt;&gt;")</f>
        <v>0</v>
      </c>
      <c r="EF18" s="5">
        <f>SUMIFS('Raw Data'!$E$3:$E$5000,'Raw Data'!$P$3:$P$5000,"W45",'Raw Data'!$S$3:$S$5000,"&lt;&gt;")</f>
        <v>0</v>
      </c>
      <c r="EG18" s="4">
        <f>SUMIFS('Raw Data'!$M$3:$M$5000,'Raw Data'!$P$3:$P$5000,"W46",'Raw Data'!$S$3:$S$5000,"&lt;&gt;")</f>
        <v>0</v>
      </c>
      <c r="EH18" s="4">
        <f>SUMIFS('Raw Data'!$N$3:$N$5000,'Raw Data'!$P$3:$P$5000,"W46",'Raw Data'!$S$3:$S$5000,"&lt;&gt;")</f>
        <v>0</v>
      </c>
      <c r="EI18" s="5">
        <f>SUMIFS('Raw Data'!$E$3:$E$5000,'Raw Data'!$P$3:$P$5000,"W46",'Raw Data'!$S$3:$S$5000,"&lt;&gt;")</f>
        <v>0</v>
      </c>
      <c r="EJ18" s="4">
        <f>SUMIFS('Raw Data'!$M$3:$M$5000,'Raw Data'!$P$3:$P$5000,"W47",'Raw Data'!$S$3:$S$5000,"&lt;&gt;")</f>
        <v>0</v>
      </c>
      <c r="EK18" s="4">
        <f>SUMIFS('Raw Data'!$N$3:$N$5000,'Raw Data'!$P$3:$P$5000,"W47",'Raw Data'!$S$3:$S$5000,"&lt;&gt;")</f>
        <v>0</v>
      </c>
      <c r="EL18" s="5">
        <f>SUMIFS('Raw Data'!$E$3:$E$5000,'Raw Data'!$P$3:$P$5000,"W47",'Raw Data'!$S$3:$S$5000,"&lt;&gt;")</f>
        <v>0</v>
      </c>
      <c r="EM18" s="4">
        <f>SUMIFS('Raw Data'!$M$3:$M$5000,'Raw Data'!$P$3:$P$5000,"W48",'Raw Data'!$S$3:$S$5000,"&lt;&gt;")</f>
        <v>0</v>
      </c>
      <c r="EN18" s="4">
        <f>SUMIFS('Raw Data'!$N$3:$N$5000,'Raw Data'!$P$3:$P$5000,"W48",'Raw Data'!$S$3:$S$5000,"&lt;&gt;")</f>
        <v>0</v>
      </c>
      <c r="EO18" s="5">
        <f>SUMIFS('Raw Data'!$E$3:$E$5000,'Raw Data'!$P$3:$P$5000,"W48",'Raw Data'!$S$3:$S$5000,"&lt;&gt;")</f>
        <v>0</v>
      </c>
      <c r="EP18" s="4">
        <f>SUMIFS('Raw Data'!$M$3:$M$5000,'Raw Data'!$P$3:$P$5000,"W49",'Raw Data'!$S$3:$S$5000,"&lt;&gt;")</f>
        <v>0</v>
      </c>
      <c r="EQ18" s="4">
        <f>SUMIFS('Raw Data'!$N$3:$N$5000,'Raw Data'!$P$3:$P$5000,"W49",'Raw Data'!$S$3:$S$5000,"&lt;&gt;")</f>
        <v>0</v>
      </c>
      <c r="ER18" s="5">
        <f>SUMIFS('Raw Data'!$E$3:$E$5000,'Raw Data'!$P$3:$P$5000,"W49",'Raw Data'!$S$3:$S$5000,"&lt;&gt;")</f>
        <v>0</v>
      </c>
      <c r="ES18" s="4">
        <f>SUMIFS('Raw Data'!$M$3:$M$5000,'Raw Data'!$P$3:$P$5000,"W50",'Raw Data'!$S$3:$S$5000,"&lt;&gt;")</f>
        <v>0</v>
      </c>
      <c r="ET18" s="4">
        <f>SUMIFS('Raw Data'!$N$3:$N$5000,'Raw Data'!$P$3:$P$5000,"W50",'Raw Data'!$S$3:$S$5000,"&lt;&gt;")</f>
        <v>0</v>
      </c>
      <c r="EU18" s="5">
        <f>SUMIFS('Raw Data'!$E$3:$E$5000,'Raw Data'!$P$3:$P$5000,"W50",'Raw Data'!$S$3:$S$5000,"&lt;&gt;")</f>
        <v>0</v>
      </c>
      <c r="EV18" s="4">
        <f>SUMIFS('Raw Data'!$M$3:$M$5000,'Raw Data'!$P$3:$P$5000,"W51",'Raw Data'!$S$3:$S$5000,"&lt;&gt;")</f>
        <v>0</v>
      </c>
      <c r="EW18" s="4">
        <f>SUMIFS('Raw Data'!$N$3:$N$5000,'Raw Data'!$P$3:$P$5000,"W51",'Raw Data'!$S$3:$S$5000,"&lt;&gt;")</f>
        <v>0</v>
      </c>
      <c r="EX18" s="5">
        <f>SUMIFS('Raw Data'!$E$3:$E$5000,'Raw Data'!$P$3:$P$5000,"W51",'Raw Data'!$S$3:$S$5000,"&lt;&gt;")</f>
        <v>0</v>
      </c>
      <c r="EY18" s="4">
        <f>SUMIFS('Raw Data'!$M$3:$M$5000,'Raw Data'!$P$3:$P$5000,"W52",'Raw Data'!$S$3:$S$5000,"&lt;&gt;")</f>
        <v>0</v>
      </c>
      <c r="EZ18" s="4">
        <f>SUMIFS('Raw Data'!$N$3:$N$5000,'Raw Data'!$P$3:$P$5000,"W52",'Raw Data'!$S$3:$S$5000,"&lt;&gt;")</f>
        <v>0</v>
      </c>
      <c r="FA18" s="5">
        <f>SUMIFS('Raw Data'!$E$3:$E$5000,'Raw Data'!$P$3:$P$5000,"W52",'Raw Data'!$S$3:$S$5000,"&lt;&gt;")</f>
        <v>0</v>
      </c>
      <c r="FB18" s="6">
        <f t="shared" ref="FB18:FD18" si="8">B18+E18+H18+K18+N18+Q18+T18+W18+Z18+AC18+AF18+AI18+AL18+AO18+AR18+AU18+AX18+BA18+BD18+BG18+BJ18+BM18+BP18+BS18+BV18+BY18+CB18+CE18+CH18+CK18+CN18+CQ18+CT18+CW18+CZ18+DC18+DF18+DI18+DL18+DO18+DR18+DU18+DX18+EA18+ED18+EG18+EJ18+EM18+EP18+ES18+EV18+EY18</f>
        <v>553.95999999999992</v>
      </c>
      <c r="FC18" s="6">
        <f t="shared" si="8"/>
        <v>1178.6199999999999</v>
      </c>
      <c r="FD18" s="7">
        <f t="shared" si="8"/>
        <v>6</v>
      </c>
    </row>
    <row r="19" spans="1:160" ht="19.5" customHeight="1" x14ac:dyDescent="0.3">
      <c r="A19" s="27" t="s">
        <v>70</v>
      </c>
      <c r="B19" s="28" t="s">
        <v>67</v>
      </c>
      <c r="C19" s="28" t="s">
        <v>67</v>
      </c>
      <c r="D19" s="28" t="s">
        <v>67</v>
      </c>
      <c r="E19" s="28" t="s">
        <v>67</v>
      </c>
      <c r="F19" s="28" t="s">
        <v>67</v>
      </c>
      <c r="G19" s="28" t="s">
        <v>67</v>
      </c>
      <c r="H19" s="28" t="s">
        <v>67</v>
      </c>
      <c r="I19" s="28" t="s">
        <v>67</v>
      </c>
      <c r="J19" s="28" t="s">
        <v>67</v>
      </c>
      <c r="K19" s="28" t="s">
        <v>67</v>
      </c>
      <c r="L19" s="28" t="s">
        <v>67</v>
      </c>
      <c r="M19" s="28" t="s">
        <v>67</v>
      </c>
      <c r="N19" s="28" t="s">
        <v>67</v>
      </c>
      <c r="O19" s="28" t="s">
        <v>67</v>
      </c>
      <c r="P19" s="28" t="s">
        <v>67</v>
      </c>
      <c r="Q19" s="28" t="s">
        <v>67</v>
      </c>
      <c r="R19" s="28" t="s">
        <v>67</v>
      </c>
      <c r="S19" s="28" t="s">
        <v>67</v>
      </c>
      <c r="T19" s="28" t="s">
        <v>67</v>
      </c>
      <c r="U19" s="28" t="s">
        <v>67</v>
      </c>
      <c r="V19" s="28" t="s">
        <v>67</v>
      </c>
      <c r="W19" s="28" t="s">
        <v>67</v>
      </c>
      <c r="X19" s="28" t="s">
        <v>67</v>
      </c>
      <c r="Y19" s="28" t="s">
        <v>67</v>
      </c>
      <c r="Z19" s="28" t="s">
        <v>67</v>
      </c>
      <c r="AA19" s="28" t="s">
        <v>67</v>
      </c>
      <c r="AB19" s="28" t="s">
        <v>67</v>
      </c>
      <c r="AC19" s="28" t="s">
        <v>67</v>
      </c>
      <c r="AD19" s="28" t="s">
        <v>67</v>
      </c>
      <c r="AE19" s="28" t="s">
        <v>67</v>
      </c>
      <c r="AF19" s="28" t="s">
        <v>67</v>
      </c>
      <c r="AG19" s="28" t="s">
        <v>67</v>
      </c>
      <c r="AH19" s="28" t="s">
        <v>67</v>
      </c>
      <c r="AI19" s="28" t="s">
        <v>67</v>
      </c>
      <c r="AJ19" s="28" t="s">
        <v>67</v>
      </c>
      <c r="AK19" s="28" t="s">
        <v>67</v>
      </c>
      <c r="AL19" s="28" t="s">
        <v>67</v>
      </c>
      <c r="AM19" s="28" t="s">
        <v>67</v>
      </c>
      <c r="AN19" s="28" t="s">
        <v>67</v>
      </c>
      <c r="AO19" s="28" t="s">
        <v>67</v>
      </c>
      <c r="AP19" s="28" t="s">
        <v>67</v>
      </c>
      <c r="AQ19" s="28" t="s">
        <v>67</v>
      </c>
      <c r="AR19" s="28" t="s">
        <v>67</v>
      </c>
      <c r="AS19" s="28" t="s">
        <v>67</v>
      </c>
      <c r="AT19" s="28" t="s">
        <v>67</v>
      </c>
      <c r="AU19" s="28" t="s">
        <v>67</v>
      </c>
      <c r="AV19" s="28" t="s">
        <v>67</v>
      </c>
      <c r="AW19" s="28" t="s">
        <v>67</v>
      </c>
      <c r="AX19" s="28" t="s">
        <v>67</v>
      </c>
      <c r="AY19" s="28" t="s">
        <v>67</v>
      </c>
      <c r="AZ19" s="28" t="s">
        <v>67</v>
      </c>
      <c r="BA19" s="28" t="s">
        <v>67</v>
      </c>
      <c r="BB19" s="28" t="s">
        <v>67</v>
      </c>
      <c r="BC19" s="28" t="s">
        <v>67</v>
      </c>
      <c r="BD19" s="28" t="s">
        <v>67</v>
      </c>
      <c r="BE19" s="28" t="s">
        <v>67</v>
      </c>
      <c r="BF19" s="28" t="s">
        <v>67</v>
      </c>
      <c r="BG19" s="28" t="s">
        <v>67</v>
      </c>
      <c r="BH19" s="28" t="s">
        <v>67</v>
      </c>
      <c r="BI19" s="28" t="s">
        <v>67</v>
      </c>
      <c r="BJ19" s="28" t="s">
        <v>67</v>
      </c>
      <c r="BK19" s="28" t="s">
        <v>67</v>
      </c>
      <c r="BL19" s="28" t="s">
        <v>67</v>
      </c>
      <c r="BM19" s="28" t="s">
        <v>67</v>
      </c>
      <c r="BN19" s="28" t="s">
        <v>67</v>
      </c>
      <c r="BO19" s="28" t="s">
        <v>67</v>
      </c>
      <c r="BP19" s="28" t="s">
        <v>67</v>
      </c>
      <c r="BQ19" s="28" t="s">
        <v>67</v>
      </c>
      <c r="BR19" s="28" t="s">
        <v>67</v>
      </c>
      <c r="BS19" s="28" t="s">
        <v>67</v>
      </c>
      <c r="BT19" s="28" t="s">
        <v>67</v>
      </c>
      <c r="BU19" s="28" t="s">
        <v>67</v>
      </c>
      <c r="BV19" s="28" t="s">
        <v>67</v>
      </c>
      <c r="BW19" s="28" t="s">
        <v>67</v>
      </c>
      <c r="BX19" s="28" t="s">
        <v>67</v>
      </c>
      <c r="BY19" s="28" t="s">
        <v>67</v>
      </c>
      <c r="BZ19" s="28" t="s">
        <v>67</v>
      </c>
      <c r="CA19" s="28" t="s">
        <v>67</v>
      </c>
      <c r="CB19" s="28" t="s">
        <v>67</v>
      </c>
      <c r="CC19" s="28" t="s">
        <v>67</v>
      </c>
      <c r="CD19" s="28" t="s">
        <v>67</v>
      </c>
      <c r="CE19" s="28" t="s">
        <v>67</v>
      </c>
      <c r="CF19" s="28" t="s">
        <v>67</v>
      </c>
      <c r="CG19" s="28" t="s">
        <v>67</v>
      </c>
      <c r="CH19" s="28" t="s">
        <v>67</v>
      </c>
      <c r="CI19" s="28" t="s">
        <v>67</v>
      </c>
      <c r="CJ19" s="28" t="s">
        <v>67</v>
      </c>
      <c r="CK19" s="28" t="s">
        <v>67</v>
      </c>
      <c r="CL19" s="28" t="s">
        <v>67</v>
      </c>
      <c r="CM19" s="28" t="s">
        <v>67</v>
      </c>
      <c r="CN19" s="28" t="s">
        <v>67</v>
      </c>
      <c r="CO19" s="28" t="s">
        <v>67</v>
      </c>
      <c r="CP19" s="28" t="s">
        <v>67</v>
      </c>
      <c r="CQ19" s="28" t="s">
        <v>67</v>
      </c>
      <c r="CR19" s="28" t="s">
        <v>67</v>
      </c>
      <c r="CS19" s="28" t="s">
        <v>67</v>
      </c>
      <c r="CT19" s="28" t="s">
        <v>67</v>
      </c>
      <c r="CU19" s="28" t="s">
        <v>67</v>
      </c>
      <c r="CV19" s="28" t="s">
        <v>67</v>
      </c>
      <c r="CW19" s="28" t="s">
        <v>67</v>
      </c>
      <c r="CX19" s="28" t="s">
        <v>67</v>
      </c>
      <c r="CY19" s="28" t="s">
        <v>67</v>
      </c>
      <c r="CZ19" s="28" t="s">
        <v>67</v>
      </c>
      <c r="DA19" s="28" t="s">
        <v>67</v>
      </c>
      <c r="DB19" s="28" t="s">
        <v>67</v>
      </c>
      <c r="DC19" s="28" t="s">
        <v>67</v>
      </c>
      <c r="DD19" s="28" t="s">
        <v>67</v>
      </c>
      <c r="DE19" s="28" t="s">
        <v>67</v>
      </c>
      <c r="DF19" s="28" t="s">
        <v>67</v>
      </c>
      <c r="DG19" s="28" t="s">
        <v>67</v>
      </c>
      <c r="DH19" s="28" t="s">
        <v>67</v>
      </c>
      <c r="DI19" s="28" t="s">
        <v>67</v>
      </c>
      <c r="DJ19" s="28" t="s">
        <v>67</v>
      </c>
      <c r="DK19" s="28" t="s">
        <v>67</v>
      </c>
      <c r="DL19" s="28" t="s">
        <v>67</v>
      </c>
      <c r="DM19" s="28" t="s">
        <v>67</v>
      </c>
      <c r="DN19" s="28" t="s">
        <v>67</v>
      </c>
      <c r="DO19" s="28" t="s">
        <v>67</v>
      </c>
      <c r="DP19" s="28" t="s">
        <v>67</v>
      </c>
      <c r="DQ19" s="28" t="s">
        <v>67</v>
      </c>
      <c r="DR19" s="28" t="s">
        <v>67</v>
      </c>
      <c r="DS19" s="28" t="s">
        <v>67</v>
      </c>
      <c r="DT19" s="28" t="s">
        <v>67</v>
      </c>
      <c r="DU19" s="28" t="s">
        <v>67</v>
      </c>
      <c r="DV19" s="28" t="s">
        <v>67</v>
      </c>
      <c r="DW19" s="28" t="s">
        <v>67</v>
      </c>
      <c r="DX19" s="28" t="s">
        <v>67</v>
      </c>
      <c r="DY19" s="28" t="s">
        <v>67</v>
      </c>
      <c r="DZ19" s="28" t="s">
        <v>67</v>
      </c>
      <c r="EA19" s="28" t="s">
        <v>67</v>
      </c>
      <c r="EB19" s="28" t="s">
        <v>67</v>
      </c>
      <c r="EC19" s="28" t="s">
        <v>67</v>
      </c>
      <c r="ED19" s="28" t="s">
        <v>67</v>
      </c>
      <c r="EE19" s="28" t="s">
        <v>67</v>
      </c>
      <c r="EF19" s="28" t="s">
        <v>67</v>
      </c>
      <c r="EG19" s="28" t="s">
        <v>67</v>
      </c>
      <c r="EH19" s="28" t="s">
        <v>67</v>
      </c>
      <c r="EI19" s="28" t="s">
        <v>67</v>
      </c>
      <c r="EJ19" s="28" t="s">
        <v>67</v>
      </c>
      <c r="EK19" s="28" t="s">
        <v>67</v>
      </c>
      <c r="EL19" s="28" t="s">
        <v>67</v>
      </c>
      <c r="EM19" s="28" t="s">
        <v>67</v>
      </c>
      <c r="EN19" s="28" t="s">
        <v>67</v>
      </c>
      <c r="EO19" s="28" t="s">
        <v>67</v>
      </c>
      <c r="EP19" s="28" t="s">
        <v>67</v>
      </c>
      <c r="EQ19" s="28" t="s">
        <v>67</v>
      </c>
      <c r="ER19" s="28" t="s">
        <v>67</v>
      </c>
      <c r="ES19" s="28" t="s">
        <v>67</v>
      </c>
      <c r="ET19" s="28" t="s">
        <v>67</v>
      </c>
      <c r="EU19" s="28" t="s">
        <v>67</v>
      </c>
      <c r="EV19" s="28" t="s">
        <v>67</v>
      </c>
      <c r="EW19" s="28" t="s">
        <v>67</v>
      </c>
      <c r="EX19" s="28" t="s">
        <v>67</v>
      </c>
      <c r="EY19" s="28" t="s">
        <v>67</v>
      </c>
      <c r="EZ19" s="28" t="s">
        <v>67</v>
      </c>
      <c r="FA19" s="28" t="s">
        <v>67</v>
      </c>
      <c r="FB19" s="23" t="s">
        <v>67</v>
      </c>
      <c r="FC19" s="23" t="s">
        <v>67</v>
      </c>
      <c r="FD19" s="23" t="s">
        <v>67</v>
      </c>
    </row>
    <row r="20" spans="1:160" ht="4.5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</row>
    <row r="21" spans="1:160" ht="19.5" customHeight="1" x14ac:dyDescent="0.3">
      <c r="A21" s="29" t="s">
        <v>71</v>
      </c>
      <c r="B21" s="30">
        <v>0</v>
      </c>
      <c r="C21" s="30">
        <v>0</v>
      </c>
      <c r="D21" s="31">
        <v>0</v>
      </c>
      <c r="E21" s="30">
        <v>0</v>
      </c>
      <c r="F21" s="30">
        <v>0</v>
      </c>
      <c r="G21" s="31">
        <v>0</v>
      </c>
      <c r="H21" s="30">
        <v>0</v>
      </c>
      <c r="I21" s="30">
        <v>0</v>
      </c>
      <c r="J21" s="31">
        <v>0</v>
      </c>
      <c r="K21" s="30">
        <v>0</v>
      </c>
      <c r="L21" s="30">
        <v>0</v>
      </c>
      <c r="M21" s="31">
        <v>0</v>
      </c>
      <c r="N21" s="30">
        <v>0</v>
      </c>
      <c r="O21" s="30">
        <v>0</v>
      </c>
      <c r="P21" s="31">
        <v>0</v>
      </c>
      <c r="Q21" s="30">
        <v>0</v>
      </c>
      <c r="R21" s="30">
        <v>0</v>
      </c>
      <c r="S21" s="31">
        <v>0</v>
      </c>
      <c r="T21" s="30">
        <v>0</v>
      </c>
      <c r="U21" s="30">
        <v>0</v>
      </c>
      <c r="V21" s="31">
        <v>0</v>
      </c>
      <c r="W21" s="30">
        <v>0</v>
      </c>
      <c r="X21" s="30">
        <v>0</v>
      </c>
      <c r="Y21" s="31">
        <v>0</v>
      </c>
      <c r="Z21" s="30">
        <v>0</v>
      </c>
      <c r="AA21" s="30">
        <v>0</v>
      </c>
      <c r="AB21" s="31">
        <v>0</v>
      </c>
      <c r="AC21" s="30">
        <v>0</v>
      </c>
      <c r="AD21" s="30">
        <v>0</v>
      </c>
      <c r="AE21" s="31">
        <v>0</v>
      </c>
      <c r="AF21" s="30">
        <v>0</v>
      </c>
      <c r="AG21" s="30">
        <v>0</v>
      </c>
      <c r="AH21" s="31">
        <v>0</v>
      </c>
      <c r="AI21" s="30">
        <v>0</v>
      </c>
      <c r="AJ21" s="30">
        <v>0</v>
      </c>
      <c r="AK21" s="31">
        <v>0</v>
      </c>
      <c r="AL21" s="30">
        <v>0</v>
      </c>
      <c r="AM21" s="30">
        <v>0</v>
      </c>
      <c r="AN21" s="31">
        <v>0</v>
      </c>
      <c r="AO21" s="30">
        <v>0</v>
      </c>
      <c r="AP21" s="30">
        <v>0</v>
      </c>
      <c r="AQ21" s="31">
        <v>0</v>
      </c>
      <c r="AR21" s="30">
        <v>0</v>
      </c>
      <c r="AS21" s="30">
        <v>0</v>
      </c>
      <c r="AT21" s="31">
        <v>0</v>
      </c>
      <c r="AU21" s="30">
        <v>0</v>
      </c>
      <c r="AV21" s="30">
        <v>0</v>
      </c>
      <c r="AW21" s="31">
        <v>0</v>
      </c>
      <c r="AX21" s="30">
        <v>0</v>
      </c>
      <c r="AY21" s="30">
        <v>0</v>
      </c>
      <c r="AZ21" s="31">
        <v>0</v>
      </c>
      <c r="BA21" s="30">
        <v>0</v>
      </c>
      <c r="BB21" s="30">
        <v>0</v>
      </c>
      <c r="BC21" s="31">
        <v>0</v>
      </c>
      <c r="BD21" s="30">
        <v>0</v>
      </c>
      <c r="BE21" s="30">
        <v>0</v>
      </c>
      <c r="BF21" s="31">
        <v>0</v>
      </c>
      <c r="BG21" s="30">
        <v>0</v>
      </c>
      <c r="BH21" s="30">
        <v>0</v>
      </c>
      <c r="BI21" s="31">
        <v>0</v>
      </c>
      <c r="BJ21" s="30">
        <v>0</v>
      </c>
      <c r="BK21" s="30">
        <v>0</v>
      </c>
      <c r="BL21" s="31">
        <v>0</v>
      </c>
      <c r="BM21" s="30">
        <v>0</v>
      </c>
      <c r="BN21" s="30">
        <v>0</v>
      </c>
      <c r="BO21" s="31">
        <v>0</v>
      </c>
      <c r="BP21" s="30">
        <v>0</v>
      </c>
      <c r="BQ21" s="30">
        <v>0</v>
      </c>
      <c r="BR21" s="31">
        <v>0</v>
      </c>
      <c r="BS21" s="30">
        <v>0</v>
      </c>
      <c r="BT21" s="30">
        <v>0</v>
      </c>
      <c r="BU21" s="31">
        <v>0</v>
      </c>
      <c r="BV21" s="30">
        <v>0</v>
      </c>
      <c r="BW21" s="30">
        <v>0</v>
      </c>
      <c r="BX21" s="31">
        <v>0</v>
      </c>
      <c r="BY21" s="30">
        <v>0</v>
      </c>
      <c r="BZ21" s="30">
        <v>0</v>
      </c>
      <c r="CA21" s="31">
        <v>0</v>
      </c>
      <c r="CB21" s="30">
        <v>0</v>
      </c>
      <c r="CC21" s="30">
        <v>0</v>
      </c>
      <c r="CD21" s="31">
        <v>0</v>
      </c>
      <c r="CE21" s="30">
        <v>0</v>
      </c>
      <c r="CF21" s="30">
        <v>0</v>
      </c>
      <c r="CG21" s="31">
        <v>0</v>
      </c>
      <c r="CH21" s="30">
        <v>0</v>
      </c>
      <c r="CI21" s="30">
        <v>0</v>
      </c>
      <c r="CJ21" s="31">
        <v>0</v>
      </c>
      <c r="CK21" s="30">
        <v>0</v>
      </c>
      <c r="CL21" s="30">
        <v>0</v>
      </c>
      <c r="CM21" s="31">
        <v>0</v>
      </c>
      <c r="CN21" s="30">
        <v>0</v>
      </c>
      <c r="CO21" s="30">
        <v>0</v>
      </c>
      <c r="CP21" s="31">
        <v>0</v>
      </c>
      <c r="CQ21" s="30">
        <v>0</v>
      </c>
      <c r="CR21" s="30">
        <v>0</v>
      </c>
      <c r="CS21" s="31">
        <v>0</v>
      </c>
      <c r="CT21" s="30">
        <v>0</v>
      </c>
      <c r="CU21" s="30">
        <v>0</v>
      </c>
      <c r="CV21" s="31">
        <v>0</v>
      </c>
      <c r="CW21" s="30">
        <v>0</v>
      </c>
      <c r="CX21" s="30">
        <v>0</v>
      </c>
      <c r="CY21" s="31">
        <v>0</v>
      </c>
      <c r="CZ21" s="30">
        <v>0</v>
      </c>
      <c r="DA21" s="30">
        <v>0</v>
      </c>
      <c r="DB21" s="31">
        <v>0</v>
      </c>
      <c r="DC21" s="30">
        <v>0</v>
      </c>
      <c r="DD21" s="30">
        <v>0</v>
      </c>
      <c r="DE21" s="31">
        <v>0</v>
      </c>
      <c r="DF21" s="30">
        <v>0</v>
      </c>
      <c r="DG21" s="30">
        <v>0</v>
      </c>
      <c r="DH21" s="31">
        <v>0</v>
      </c>
      <c r="DI21" s="30">
        <v>0</v>
      </c>
      <c r="DJ21" s="30">
        <v>0</v>
      </c>
      <c r="DK21" s="31">
        <v>0</v>
      </c>
      <c r="DL21" s="30">
        <v>0</v>
      </c>
      <c r="DM21" s="30">
        <v>0</v>
      </c>
      <c r="DN21" s="31">
        <v>0</v>
      </c>
      <c r="DO21" s="30">
        <v>0</v>
      </c>
      <c r="DP21" s="30">
        <v>0</v>
      </c>
      <c r="DQ21" s="31">
        <v>0</v>
      </c>
      <c r="DR21" s="30">
        <v>0</v>
      </c>
      <c r="DS21" s="30">
        <v>0</v>
      </c>
      <c r="DT21" s="31">
        <v>0</v>
      </c>
      <c r="DU21" s="30">
        <v>0</v>
      </c>
      <c r="DV21" s="30">
        <v>0</v>
      </c>
      <c r="DW21" s="31">
        <v>0</v>
      </c>
      <c r="DX21" s="30">
        <v>0</v>
      </c>
      <c r="DY21" s="30">
        <v>0</v>
      </c>
      <c r="DZ21" s="31">
        <v>0</v>
      </c>
      <c r="EA21" s="30">
        <v>0</v>
      </c>
      <c r="EB21" s="30">
        <v>0</v>
      </c>
      <c r="EC21" s="31">
        <v>0</v>
      </c>
      <c r="ED21" s="30">
        <v>0</v>
      </c>
      <c r="EE21" s="30">
        <v>0</v>
      </c>
      <c r="EF21" s="31">
        <v>0</v>
      </c>
      <c r="EG21" s="30">
        <v>0</v>
      </c>
      <c r="EH21" s="30">
        <v>0</v>
      </c>
      <c r="EI21" s="31">
        <v>0</v>
      </c>
      <c r="EJ21" s="30">
        <v>0</v>
      </c>
      <c r="EK21" s="30">
        <v>0</v>
      </c>
      <c r="EL21" s="31">
        <v>0</v>
      </c>
      <c r="EM21" s="30">
        <v>0</v>
      </c>
      <c r="EN21" s="30">
        <v>0</v>
      </c>
      <c r="EO21" s="31">
        <v>0</v>
      </c>
      <c r="EP21" s="30">
        <v>0</v>
      </c>
      <c r="EQ21" s="30">
        <v>0</v>
      </c>
      <c r="ER21" s="31">
        <v>0</v>
      </c>
      <c r="ES21" s="30">
        <v>0</v>
      </c>
      <c r="ET21" s="30">
        <v>0</v>
      </c>
      <c r="EU21" s="31">
        <v>0</v>
      </c>
      <c r="EV21" s="30">
        <v>0</v>
      </c>
      <c r="EW21" s="30">
        <v>0</v>
      </c>
      <c r="EX21" s="31">
        <v>0</v>
      </c>
      <c r="EY21" s="30">
        <v>0</v>
      </c>
      <c r="EZ21" s="30">
        <v>0</v>
      </c>
      <c r="FA21" s="31">
        <v>0</v>
      </c>
      <c r="FB21" s="6">
        <f t="shared" ref="FB21:FD21" si="9">B21+E21+H21+K21+N21+Q21+T21+W21+Z21+AC21+AF21+AI21+AL21+AO21+AR21+AU21+AX21+BA21+BD21+BG21+BJ21+BM21+BP21+BS21+BV21+BY21+CB21+CE21+CH21+CK21+CN21+CQ21+CT21+CW21+CZ21+DC21+DF21+DI21+DL21+DO21+DR21+DU21+DX21+EA21+ED21+EG21+EJ21+EM21+EP21+ES21+EV21+EY21</f>
        <v>0</v>
      </c>
      <c r="FC21" s="6">
        <f t="shared" si="9"/>
        <v>0</v>
      </c>
      <c r="FD21" s="7">
        <f t="shared" si="9"/>
        <v>0</v>
      </c>
    </row>
    <row r="22" spans="1:160" ht="19.5" customHeight="1" x14ac:dyDescent="0.3">
      <c r="A22" s="29" t="s">
        <v>72</v>
      </c>
      <c r="B22" s="32">
        <v>0</v>
      </c>
      <c r="C22" s="32">
        <v>0</v>
      </c>
      <c r="D22" s="32">
        <v>0</v>
      </c>
      <c r="E22" s="32">
        <v>0</v>
      </c>
      <c r="F22" s="32">
        <v>0</v>
      </c>
      <c r="G22" s="32">
        <v>0</v>
      </c>
      <c r="H22" s="32">
        <v>0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2">
        <v>0</v>
      </c>
      <c r="X22" s="32">
        <v>0</v>
      </c>
      <c r="Y22" s="32">
        <v>0</v>
      </c>
      <c r="Z22" s="32">
        <v>0</v>
      </c>
      <c r="AA22" s="32">
        <v>0</v>
      </c>
      <c r="AB22" s="32">
        <v>0</v>
      </c>
      <c r="AC22" s="32">
        <v>0</v>
      </c>
      <c r="AD22" s="32">
        <v>0</v>
      </c>
      <c r="AE22" s="32">
        <v>0</v>
      </c>
      <c r="AF22" s="32">
        <v>0</v>
      </c>
      <c r="AG22" s="32">
        <v>0</v>
      </c>
      <c r="AH22" s="32">
        <v>0</v>
      </c>
      <c r="AI22" s="32">
        <v>0</v>
      </c>
      <c r="AJ22" s="32">
        <v>0</v>
      </c>
      <c r="AK22" s="32">
        <v>0</v>
      </c>
      <c r="AL22" s="32">
        <v>0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>
        <v>0</v>
      </c>
      <c r="AS22" s="32">
        <v>0</v>
      </c>
      <c r="AT22" s="32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2">
        <v>0</v>
      </c>
      <c r="BA22" s="32">
        <v>0</v>
      </c>
      <c r="BB22" s="32">
        <v>0</v>
      </c>
      <c r="BC22" s="32">
        <v>0</v>
      </c>
      <c r="BD22" s="32">
        <v>0</v>
      </c>
      <c r="BE22" s="32">
        <v>0</v>
      </c>
      <c r="BF22" s="32">
        <v>0</v>
      </c>
      <c r="BG22" s="32">
        <v>0</v>
      </c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2">
        <v>0</v>
      </c>
      <c r="BP22" s="32">
        <v>0</v>
      </c>
      <c r="BQ22" s="32">
        <v>0</v>
      </c>
      <c r="BR22" s="32">
        <v>0</v>
      </c>
      <c r="BS22" s="32">
        <v>0</v>
      </c>
      <c r="BT22" s="32">
        <v>0</v>
      </c>
      <c r="BU22" s="32">
        <v>0</v>
      </c>
      <c r="BV22" s="32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2">
        <v>0</v>
      </c>
      <c r="CI22" s="32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2">
        <v>0</v>
      </c>
      <c r="CR22" s="32">
        <v>0</v>
      </c>
      <c r="CS22" s="32">
        <v>0</v>
      </c>
      <c r="CT22" s="32">
        <v>0</v>
      </c>
      <c r="CU22" s="32">
        <v>0</v>
      </c>
      <c r="CV22" s="32">
        <v>0</v>
      </c>
      <c r="CW22" s="32">
        <v>0</v>
      </c>
      <c r="CX22" s="32">
        <v>0</v>
      </c>
      <c r="CY22" s="32">
        <v>0</v>
      </c>
      <c r="CZ22" s="32">
        <v>0</v>
      </c>
      <c r="DA22" s="32">
        <v>0</v>
      </c>
      <c r="DB22" s="32">
        <v>0</v>
      </c>
      <c r="DC22" s="32">
        <v>0</v>
      </c>
      <c r="DD22" s="32">
        <v>0</v>
      </c>
      <c r="DE22" s="32">
        <v>0</v>
      </c>
      <c r="DF22" s="32">
        <v>0</v>
      </c>
      <c r="DG22" s="32">
        <v>0</v>
      </c>
      <c r="DH22" s="32">
        <v>0</v>
      </c>
      <c r="DI22" s="32">
        <v>0</v>
      </c>
      <c r="DJ22" s="32">
        <v>0</v>
      </c>
      <c r="DK22" s="32">
        <v>0</v>
      </c>
      <c r="DL22" s="32">
        <v>0</v>
      </c>
      <c r="DM22" s="32">
        <v>0</v>
      </c>
      <c r="DN22" s="32">
        <v>0</v>
      </c>
      <c r="DO22" s="32">
        <v>0</v>
      </c>
      <c r="DP22" s="32">
        <v>0</v>
      </c>
      <c r="DQ22" s="32">
        <v>0</v>
      </c>
      <c r="DR22" s="32">
        <v>0</v>
      </c>
      <c r="DS22" s="32">
        <v>0</v>
      </c>
      <c r="DT22" s="32">
        <v>0</v>
      </c>
      <c r="DU22" s="32">
        <v>0</v>
      </c>
      <c r="DV22" s="32">
        <v>0</v>
      </c>
      <c r="DW22" s="32">
        <v>0</v>
      </c>
      <c r="DX22" s="32">
        <v>0</v>
      </c>
      <c r="DY22" s="32">
        <v>0</v>
      </c>
      <c r="DZ22" s="32">
        <v>0</v>
      </c>
      <c r="EA22" s="32">
        <v>0</v>
      </c>
      <c r="EB22" s="32">
        <v>0</v>
      </c>
      <c r="EC22" s="32">
        <v>0</v>
      </c>
      <c r="ED22" s="32">
        <v>0</v>
      </c>
      <c r="EE22" s="32">
        <v>0</v>
      </c>
      <c r="EF22" s="32">
        <v>0</v>
      </c>
      <c r="EG22" s="32">
        <v>0</v>
      </c>
      <c r="EH22" s="32">
        <v>0</v>
      </c>
      <c r="EI22" s="32">
        <v>0</v>
      </c>
      <c r="EJ22" s="32">
        <v>0</v>
      </c>
      <c r="EK22" s="32">
        <v>0</v>
      </c>
      <c r="EL22" s="32">
        <v>0</v>
      </c>
      <c r="EM22" s="32">
        <v>0</v>
      </c>
      <c r="EN22" s="32">
        <v>0</v>
      </c>
      <c r="EO22" s="32">
        <v>0</v>
      </c>
      <c r="EP22" s="32">
        <v>0</v>
      </c>
      <c r="EQ22" s="32">
        <v>0</v>
      </c>
      <c r="ER22" s="32">
        <v>0</v>
      </c>
      <c r="ES22" s="32">
        <v>0</v>
      </c>
      <c r="ET22" s="32">
        <v>0</v>
      </c>
      <c r="EU22" s="32">
        <v>0</v>
      </c>
      <c r="EV22" s="32">
        <v>0</v>
      </c>
      <c r="EW22" s="32">
        <v>0</v>
      </c>
      <c r="EX22" s="32">
        <v>0</v>
      </c>
      <c r="EY22" s="32">
        <v>0</v>
      </c>
      <c r="EZ22" s="32">
        <v>0</v>
      </c>
      <c r="FA22" s="32">
        <v>0</v>
      </c>
      <c r="FB22" s="33" t="s">
        <v>73</v>
      </c>
      <c r="FC22" s="33" t="s">
        <v>73</v>
      </c>
      <c r="FD22" s="33" t="s">
        <v>73</v>
      </c>
    </row>
    <row r="23" spans="1:160" ht="15.75" customHeight="1" x14ac:dyDescent="0.3"/>
    <row r="24" spans="1:160" ht="27.75" customHeight="1" x14ac:dyDescent="0.3">
      <c r="A24" s="51" t="s">
        <v>74</v>
      </c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</row>
    <row r="25" spans="1:160" ht="15.75" customHeight="1" x14ac:dyDescent="0.3"/>
    <row r="26" spans="1:160" ht="15.75" customHeight="1" x14ac:dyDescent="0.3"/>
    <row r="27" spans="1:160" ht="15.75" customHeight="1" x14ac:dyDescent="0.3"/>
    <row r="28" spans="1:160" ht="15.75" customHeight="1" x14ac:dyDescent="0.3"/>
    <row r="29" spans="1:160" ht="15.75" customHeight="1" x14ac:dyDescent="0.3"/>
    <row r="30" spans="1:160" ht="15.75" customHeight="1" x14ac:dyDescent="0.3"/>
    <row r="31" spans="1:160" ht="15.75" customHeight="1" x14ac:dyDescent="0.3"/>
    <row r="32" spans="1:16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7">
    <mergeCell ref="EV3:EX3"/>
    <mergeCell ref="EY3:FA3"/>
    <mergeCell ref="FB3:FD3"/>
    <mergeCell ref="DO3:DQ3"/>
    <mergeCell ref="DR3:DT3"/>
    <mergeCell ref="DU3:DW3"/>
    <mergeCell ref="DX3:DZ3"/>
    <mergeCell ref="EA3:EC3"/>
    <mergeCell ref="ED3:EF3"/>
    <mergeCell ref="EG3:EI3"/>
    <mergeCell ref="DL3:DN3"/>
    <mergeCell ref="EJ3:EL3"/>
    <mergeCell ref="EM3:EO3"/>
    <mergeCell ref="EP3:ER3"/>
    <mergeCell ref="ES3:EU3"/>
    <mergeCell ref="CW3:CY3"/>
    <mergeCell ref="CZ3:DB3"/>
    <mergeCell ref="DC3:DE3"/>
    <mergeCell ref="DF3:DH3"/>
    <mergeCell ref="DI3:DK3"/>
    <mergeCell ref="CH3:CJ3"/>
    <mergeCell ref="CK3:CM3"/>
    <mergeCell ref="CN3:CP3"/>
    <mergeCell ref="CQ3:CS3"/>
    <mergeCell ref="CT3:CV3"/>
    <mergeCell ref="BS3:BU3"/>
    <mergeCell ref="BV3:BX3"/>
    <mergeCell ref="BY3:CA3"/>
    <mergeCell ref="CB3:CD3"/>
    <mergeCell ref="CE3:CG3"/>
    <mergeCell ref="BD3:BF3"/>
    <mergeCell ref="BG3:BI3"/>
    <mergeCell ref="BJ3:BL3"/>
    <mergeCell ref="BM3:BO3"/>
    <mergeCell ref="BP3:BR3"/>
    <mergeCell ref="AO3:AQ3"/>
    <mergeCell ref="AR3:AT3"/>
    <mergeCell ref="AU3:AW3"/>
    <mergeCell ref="AX3:AZ3"/>
    <mergeCell ref="BA3:BC3"/>
    <mergeCell ref="Z3:AB3"/>
    <mergeCell ref="AC3:AE3"/>
    <mergeCell ref="AF3:AH3"/>
    <mergeCell ref="AI3:AK3"/>
    <mergeCell ref="AL3:AN3"/>
    <mergeCell ref="A24:M24"/>
    <mergeCell ref="N3:P3"/>
    <mergeCell ref="Q3:S3"/>
    <mergeCell ref="T3:V3"/>
    <mergeCell ref="W3:Y3"/>
    <mergeCell ref="A1:M1"/>
    <mergeCell ref="A2:M2"/>
    <mergeCell ref="A3:A4"/>
    <mergeCell ref="B3:D3"/>
    <mergeCell ref="E3:G3"/>
    <mergeCell ref="H3:J3"/>
    <mergeCell ref="K3:M3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 x14ac:dyDescent="0.3"/>
  <cols>
    <col min="1" max="1" width="16" customWidth="1"/>
    <col min="2" max="3" width="14" customWidth="1"/>
    <col min="4" max="4" width="18" customWidth="1"/>
    <col min="5" max="5" width="6" customWidth="1"/>
    <col min="6" max="6" width="14" customWidth="1"/>
    <col min="7" max="7" width="8" customWidth="1"/>
    <col min="8" max="8" width="22" customWidth="1"/>
    <col min="9" max="9" width="14" customWidth="1"/>
    <col min="10" max="12" width="10" customWidth="1"/>
    <col min="13" max="13" width="11" customWidth="1"/>
    <col min="14" max="14" width="13" customWidth="1"/>
    <col min="15" max="15" width="16" customWidth="1"/>
    <col min="16" max="16" width="10" customWidth="1"/>
    <col min="17" max="17" width="13" customWidth="1"/>
    <col min="18" max="18" width="9" customWidth="1"/>
    <col min="19" max="19" width="18" customWidth="1"/>
    <col min="20" max="26" width="8.6640625" customWidth="1"/>
  </cols>
  <sheetData>
    <row r="1" spans="1:19" ht="21.75" customHeight="1" x14ac:dyDescent="0.3">
      <c r="A1" s="56" t="s">
        <v>75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19" ht="30" customHeight="1" x14ac:dyDescent="0.3">
      <c r="A2" s="34" t="s">
        <v>76</v>
      </c>
      <c r="B2" s="34" t="s">
        <v>77</v>
      </c>
      <c r="C2" s="34" t="s">
        <v>78</v>
      </c>
      <c r="D2" s="34" t="s">
        <v>79</v>
      </c>
      <c r="E2" s="34" t="s">
        <v>80</v>
      </c>
      <c r="F2" s="34" t="s">
        <v>81</v>
      </c>
      <c r="G2" s="34" t="s">
        <v>82</v>
      </c>
      <c r="H2" s="34" t="s">
        <v>83</v>
      </c>
      <c r="I2" s="34" t="s">
        <v>84</v>
      </c>
      <c r="J2" s="34" t="s">
        <v>85</v>
      </c>
      <c r="K2" s="34" t="s">
        <v>86</v>
      </c>
      <c r="L2" s="34" t="s">
        <v>87</v>
      </c>
      <c r="M2" s="34" t="s">
        <v>88</v>
      </c>
      <c r="N2" s="34" t="s">
        <v>89</v>
      </c>
      <c r="O2" s="34" t="s">
        <v>90</v>
      </c>
      <c r="P2" s="34" t="s">
        <v>91</v>
      </c>
      <c r="Q2" s="34" t="s">
        <v>92</v>
      </c>
      <c r="R2" s="34" t="s">
        <v>93</v>
      </c>
      <c r="S2" s="34" t="s">
        <v>94</v>
      </c>
    </row>
    <row r="3" spans="1:19" ht="14.4" x14ac:dyDescent="0.3">
      <c r="A3" s="35" t="s">
        <v>95</v>
      </c>
      <c r="B3" s="36">
        <v>8889</v>
      </c>
      <c r="C3" s="36" t="s">
        <v>96</v>
      </c>
      <c r="D3" s="36" t="s">
        <v>97</v>
      </c>
      <c r="E3" s="35">
        <v>1</v>
      </c>
      <c r="F3" s="36"/>
      <c r="G3" s="36" t="s">
        <v>98</v>
      </c>
      <c r="H3" s="36" t="s">
        <v>99</v>
      </c>
      <c r="I3" s="36" t="s">
        <v>100</v>
      </c>
      <c r="J3" s="35" t="s">
        <v>101</v>
      </c>
      <c r="K3" s="35" t="s">
        <v>102</v>
      </c>
      <c r="L3" s="36"/>
      <c r="M3" s="36">
        <v>101.56</v>
      </c>
      <c r="N3" s="36">
        <v>271.35000000000002</v>
      </c>
      <c r="O3" s="36"/>
      <c r="P3" s="35" t="s">
        <v>12</v>
      </c>
      <c r="Q3" s="35" t="s">
        <v>60</v>
      </c>
      <c r="R3" s="35"/>
      <c r="S3" s="36" t="s">
        <v>97</v>
      </c>
    </row>
    <row r="4" spans="1:19" ht="14.4" x14ac:dyDescent="0.3">
      <c r="A4" s="35" t="s">
        <v>95</v>
      </c>
      <c r="B4" s="36">
        <v>11196</v>
      </c>
      <c r="C4" s="36" t="s">
        <v>103</v>
      </c>
      <c r="D4" s="36" t="s">
        <v>104</v>
      </c>
      <c r="E4" s="35">
        <v>1</v>
      </c>
      <c r="F4" s="36"/>
      <c r="G4" s="36" t="s">
        <v>98</v>
      </c>
      <c r="H4" s="36" t="s">
        <v>105</v>
      </c>
      <c r="I4" s="36" t="s">
        <v>106</v>
      </c>
      <c r="J4" s="35" t="s">
        <v>101</v>
      </c>
      <c r="K4" s="35" t="s">
        <v>107</v>
      </c>
      <c r="L4" s="36"/>
      <c r="M4" s="36">
        <v>88.55</v>
      </c>
      <c r="N4" s="36">
        <v>150.88999999999999</v>
      </c>
      <c r="O4" s="36"/>
      <c r="P4" s="35" t="s">
        <v>12</v>
      </c>
      <c r="Q4" s="35" t="s">
        <v>108</v>
      </c>
      <c r="R4" s="35"/>
      <c r="S4" s="36" t="s">
        <v>104</v>
      </c>
    </row>
    <row r="5" spans="1:19" ht="14.4" x14ac:dyDescent="0.3">
      <c r="A5" s="35" t="s">
        <v>109</v>
      </c>
      <c r="B5" s="36">
        <v>11720</v>
      </c>
      <c r="C5" s="36" t="s">
        <v>110</v>
      </c>
      <c r="D5" s="36" t="s">
        <v>111</v>
      </c>
      <c r="E5" s="35">
        <v>1</v>
      </c>
      <c r="F5" s="36"/>
      <c r="G5" s="36" t="s">
        <v>98</v>
      </c>
      <c r="H5" s="36" t="s">
        <v>112</v>
      </c>
      <c r="I5" s="36" t="s">
        <v>113</v>
      </c>
      <c r="J5" s="35" t="s">
        <v>114</v>
      </c>
      <c r="K5" s="35" t="s">
        <v>107</v>
      </c>
      <c r="L5" s="36"/>
      <c r="M5" s="36">
        <v>87.32</v>
      </c>
      <c r="N5" s="36">
        <v>232.5</v>
      </c>
      <c r="O5" s="36"/>
      <c r="P5" s="35" t="s">
        <v>12</v>
      </c>
      <c r="Q5" s="35" t="s">
        <v>108</v>
      </c>
      <c r="R5" s="35"/>
      <c r="S5" s="36"/>
    </row>
    <row r="6" spans="1:19" ht="14.4" x14ac:dyDescent="0.3">
      <c r="A6" s="35" t="s">
        <v>109</v>
      </c>
      <c r="B6" s="36">
        <v>10410</v>
      </c>
      <c r="C6" s="36" t="s">
        <v>115</v>
      </c>
      <c r="D6" s="36" t="s">
        <v>116</v>
      </c>
      <c r="E6" s="35">
        <v>1</v>
      </c>
      <c r="F6" s="36"/>
      <c r="G6" s="36" t="s">
        <v>98</v>
      </c>
      <c r="H6" s="36" t="s">
        <v>117</v>
      </c>
      <c r="I6" s="36" t="s">
        <v>118</v>
      </c>
      <c r="J6" s="35" t="s">
        <v>114</v>
      </c>
      <c r="K6" s="35" t="s">
        <v>107</v>
      </c>
      <c r="L6" s="36"/>
      <c r="M6" s="36">
        <v>86.54</v>
      </c>
      <c r="N6" s="36">
        <v>233.33</v>
      </c>
      <c r="O6" s="36"/>
      <c r="P6" s="35" t="s">
        <v>12</v>
      </c>
      <c r="Q6" s="35" t="s">
        <v>108</v>
      </c>
      <c r="R6" s="35"/>
      <c r="S6" s="36"/>
    </row>
    <row r="7" spans="1:19" ht="14.4" x14ac:dyDescent="0.3">
      <c r="A7" s="35" t="s">
        <v>109</v>
      </c>
      <c r="B7" s="36">
        <v>4545</v>
      </c>
      <c r="C7" s="36" t="s">
        <v>119</v>
      </c>
      <c r="D7" s="36" t="s">
        <v>120</v>
      </c>
      <c r="E7" s="35">
        <v>1</v>
      </c>
      <c r="F7" s="36"/>
      <c r="G7" s="36" t="s">
        <v>121</v>
      </c>
      <c r="H7" s="36" t="s">
        <v>122</v>
      </c>
      <c r="I7" s="36" t="s">
        <v>123</v>
      </c>
      <c r="J7" s="35" t="s">
        <v>114</v>
      </c>
      <c r="K7" s="35" t="s">
        <v>107</v>
      </c>
      <c r="L7" s="36"/>
      <c r="M7" s="36">
        <v>41</v>
      </c>
      <c r="N7" s="36">
        <v>109.5</v>
      </c>
      <c r="O7" s="36"/>
      <c r="P7" s="35" t="s">
        <v>12</v>
      </c>
      <c r="Q7" s="35" t="s">
        <v>124</v>
      </c>
      <c r="R7" s="35"/>
      <c r="S7" s="36"/>
    </row>
    <row r="8" spans="1:19" ht="14.4" x14ac:dyDescent="0.3">
      <c r="A8" s="35" t="s">
        <v>109</v>
      </c>
      <c r="B8" s="36">
        <v>11313</v>
      </c>
      <c r="C8" s="36" t="s">
        <v>125</v>
      </c>
      <c r="D8" s="36" t="s">
        <v>126</v>
      </c>
      <c r="E8" s="35">
        <v>1</v>
      </c>
      <c r="F8" s="36"/>
      <c r="G8" s="36" t="s">
        <v>98</v>
      </c>
      <c r="H8" s="36" t="s">
        <v>127</v>
      </c>
      <c r="I8" s="36" t="s">
        <v>128</v>
      </c>
      <c r="J8" s="35" t="s">
        <v>114</v>
      </c>
      <c r="K8" s="35" t="s">
        <v>107</v>
      </c>
      <c r="L8" s="36"/>
      <c r="M8" s="36">
        <v>123.31</v>
      </c>
      <c r="N8" s="36">
        <v>253.09</v>
      </c>
      <c r="O8" s="36"/>
      <c r="P8" s="35" t="s">
        <v>12</v>
      </c>
      <c r="Q8" s="35" t="s">
        <v>124</v>
      </c>
      <c r="R8" s="35"/>
      <c r="S8" s="36"/>
    </row>
    <row r="9" spans="1:19" ht="14.4" x14ac:dyDescent="0.3">
      <c r="A9" s="35" t="s">
        <v>129</v>
      </c>
      <c r="B9" s="36">
        <v>10957</v>
      </c>
      <c r="C9" s="36" t="s">
        <v>130</v>
      </c>
      <c r="D9" s="36" t="s">
        <v>131</v>
      </c>
      <c r="E9" s="35">
        <v>1</v>
      </c>
      <c r="F9" s="36"/>
      <c r="G9" s="36" t="s">
        <v>132</v>
      </c>
      <c r="H9" s="36" t="s">
        <v>133</v>
      </c>
      <c r="I9" s="36" t="s">
        <v>134</v>
      </c>
      <c r="J9" s="35" t="s">
        <v>101</v>
      </c>
      <c r="K9" s="35" t="s">
        <v>107</v>
      </c>
      <c r="L9" s="36"/>
      <c r="M9" s="36">
        <v>54.35</v>
      </c>
      <c r="N9" s="36">
        <v>156</v>
      </c>
      <c r="O9" s="36"/>
      <c r="P9" s="35" t="s">
        <v>12</v>
      </c>
      <c r="Q9" s="35" t="s">
        <v>124</v>
      </c>
      <c r="R9" s="35"/>
      <c r="S9" s="36" t="s">
        <v>131</v>
      </c>
    </row>
    <row r="10" spans="1:19" ht="14.4" x14ac:dyDescent="0.3">
      <c r="A10" s="35" t="s">
        <v>135</v>
      </c>
      <c r="B10" s="36">
        <v>11792</v>
      </c>
      <c r="C10" s="36" t="s">
        <v>136</v>
      </c>
      <c r="D10" s="36" t="s">
        <v>137</v>
      </c>
      <c r="E10" s="35">
        <v>1</v>
      </c>
      <c r="F10" s="36"/>
      <c r="G10" s="36" t="s">
        <v>121</v>
      </c>
      <c r="H10" s="36" t="s">
        <v>138</v>
      </c>
      <c r="I10" s="36" t="s">
        <v>134</v>
      </c>
      <c r="J10" s="35" t="s">
        <v>114</v>
      </c>
      <c r="K10" s="35" t="s">
        <v>107</v>
      </c>
      <c r="L10" s="36"/>
      <c r="M10" s="36">
        <v>20.350000000000001</v>
      </c>
      <c r="N10" s="36">
        <v>51.13</v>
      </c>
      <c r="O10" s="36"/>
      <c r="P10" s="35" t="s">
        <v>12</v>
      </c>
      <c r="Q10" s="35" t="s">
        <v>108</v>
      </c>
      <c r="R10" s="35"/>
      <c r="S10" s="36"/>
    </row>
    <row r="11" spans="1:19" ht="26.4" x14ac:dyDescent="0.3">
      <c r="A11" s="35" t="s">
        <v>135</v>
      </c>
      <c r="B11" s="36">
        <v>11814</v>
      </c>
      <c r="C11" s="36" t="s">
        <v>139</v>
      </c>
      <c r="D11" s="36" t="s">
        <v>140</v>
      </c>
      <c r="E11" s="35">
        <v>1</v>
      </c>
      <c r="F11" s="36"/>
      <c r="G11" s="36" t="s">
        <v>98</v>
      </c>
      <c r="H11" s="36" t="s">
        <v>141</v>
      </c>
      <c r="I11" s="36" t="s">
        <v>142</v>
      </c>
      <c r="J11" s="35" t="s">
        <v>114</v>
      </c>
      <c r="K11" s="35" t="s">
        <v>107</v>
      </c>
      <c r="L11" s="36"/>
      <c r="M11" s="36">
        <v>66.69</v>
      </c>
      <c r="N11" s="36">
        <v>159</v>
      </c>
      <c r="O11" s="36"/>
      <c r="P11" s="35" t="s">
        <v>12</v>
      </c>
      <c r="Q11" s="35" t="s">
        <v>108</v>
      </c>
      <c r="R11" s="35"/>
      <c r="S11" s="36"/>
    </row>
    <row r="12" spans="1:19" ht="26.4" x14ac:dyDescent="0.3">
      <c r="A12" s="35" t="s">
        <v>135</v>
      </c>
      <c r="B12" s="36" t="s">
        <v>143</v>
      </c>
      <c r="C12" s="36" t="s">
        <v>110</v>
      </c>
      <c r="D12" s="36" t="s">
        <v>144</v>
      </c>
      <c r="E12" s="35">
        <v>1</v>
      </c>
      <c r="F12" s="36" t="s">
        <v>145</v>
      </c>
      <c r="G12" s="36"/>
      <c r="H12" s="36"/>
      <c r="I12" s="36"/>
      <c r="J12" s="35" t="s">
        <v>101</v>
      </c>
      <c r="K12" s="35" t="s">
        <v>107</v>
      </c>
      <c r="L12" s="36"/>
      <c r="M12" s="36">
        <v>87.32</v>
      </c>
      <c r="N12" s="36">
        <v>0</v>
      </c>
      <c r="O12" s="36"/>
      <c r="P12" s="35" t="s">
        <v>12</v>
      </c>
      <c r="Q12" s="35" t="s">
        <v>60</v>
      </c>
      <c r="R12" s="35"/>
      <c r="S12" s="36" t="s">
        <v>144</v>
      </c>
    </row>
    <row r="13" spans="1:19" ht="14.4" x14ac:dyDescent="0.3">
      <c r="A13" s="35" t="s">
        <v>146</v>
      </c>
      <c r="B13" s="36">
        <v>3731</v>
      </c>
      <c r="C13" s="36" t="s">
        <v>147</v>
      </c>
      <c r="D13" s="36" t="s">
        <v>148</v>
      </c>
      <c r="E13" s="35">
        <v>1</v>
      </c>
      <c r="F13" s="36"/>
      <c r="G13" s="36" t="s">
        <v>98</v>
      </c>
      <c r="H13" s="36" t="s">
        <v>149</v>
      </c>
      <c r="I13" s="36" t="s">
        <v>150</v>
      </c>
      <c r="J13" s="35" t="s">
        <v>101</v>
      </c>
      <c r="K13" s="35" t="s">
        <v>107</v>
      </c>
      <c r="L13" s="36"/>
      <c r="M13" s="36">
        <v>160</v>
      </c>
      <c r="N13" s="36">
        <v>483.77</v>
      </c>
      <c r="O13" s="36"/>
      <c r="P13" s="35" t="s">
        <v>12</v>
      </c>
      <c r="Q13" s="35" t="s">
        <v>124</v>
      </c>
      <c r="R13" s="35"/>
      <c r="S13" s="36" t="s">
        <v>148</v>
      </c>
    </row>
    <row r="14" spans="1:19" ht="14.4" x14ac:dyDescent="0.3">
      <c r="A14" s="35" t="s">
        <v>151</v>
      </c>
      <c r="B14" s="36">
        <v>12028</v>
      </c>
      <c r="C14" s="36" t="s">
        <v>152</v>
      </c>
      <c r="D14" s="36" t="s">
        <v>153</v>
      </c>
      <c r="E14" s="35">
        <v>2</v>
      </c>
      <c r="F14" s="36"/>
      <c r="G14" s="36" t="s">
        <v>121</v>
      </c>
      <c r="H14" s="36" t="s">
        <v>154</v>
      </c>
      <c r="I14" s="36" t="s">
        <v>155</v>
      </c>
      <c r="J14" s="35" t="s">
        <v>114</v>
      </c>
      <c r="K14" s="35" t="s">
        <v>107</v>
      </c>
      <c r="L14" s="36"/>
      <c r="M14" s="36">
        <v>73.7</v>
      </c>
      <c r="N14" s="36">
        <v>175.16</v>
      </c>
      <c r="O14" s="36" t="s">
        <v>156</v>
      </c>
      <c r="P14" s="35" t="s">
        <v>12</v>
      </c>
      <c r="Q14" s="35" t="s">
        <v>108</v>
      </c>
      <c r="R14" s="35" t="s">
        <v>157</v>
      </c>
      <c r="S14" s="36"/>
    </row>
    <row r="15" spans="1:19" ht="14.4" x14ac:dyDescent="0.3">
      <c r="A15" s="35" t="s">
        <v>151</v>
      </c>
      <c r="B15" s="36">
        <v>12069</v>
      </c>
      <c r="C15" s="36" t="s">
        <v>158</v>
      </c>
      <c r="D15" s="36" t="s">
        <v>159</v>
      </c>
      <c r="E15" s="35">
        <v>1</v>
      </c>
      <c r="F15" s="36"/>
      <c r="G15" s="36" t="s">
        <v>121</v>
      </c>
      <c r="H15" s="36" t="s">
        <v>160</v>
      </c>
      <c r="I15" s="36" t="s">
        <v>142</v>
      </c>
      <c r="J15" s="35" t="s">
        <v>114</v>
      </c>
      <c r="K15" s="35" t="s">
        <v>107</v>
      </c>
      <c r="L15" s="36"/>
      <c r="M15" s="36">
        <v>95.55</v>
      </c>
      <c r="N15" s="36">
        <v>194.59</v>
      </c>
      <c r="O15" s="36"/>
      <c r="P15" s="35" t="s">
        <v>12</v>
      </c>
      <c r="Q15" s="35" t="s">
        <v>108</v>
      </c>
      <c r="R15" s="35"/>
      <c r="S15" s="36"/>
    </row>
    <row r="16" spans="1:19" ht="14.4" x14ac:dyDescent="0.3">
      <c r="A16" s="35" t="s">
        <v>161</v>
      </c>
      <c r="B16" s="36">
        <v>6005</v>
      </c>
      <c r="C16" s="36" t="s">
        <v>162</v>
      </c>
      <c r="D16" s="36" t="s">
        <v>163</v>
      </c>
      <c r="E16" s="35">
        <v>1</v>
      </c>
      <c r="F16" s="36"/>
      <c r="G16" s="36" t="s">
        <v>98</v>
      </c>
      <c r="H16" s="36" t="s">
        <v>164</v>
      </c>
      <c r="I16" s="36" t="s">
        <v>165</v>
      </c>
      <c r="J16" s="35" t="s">
        <v>101</v>
      </c>
      <c r="K16" s="35" t="s">
        <v>107</v>
      </c>
      <c r="L16" s="36"/>
      <c r="M16" s="36">
        <v>62.18</v>
      </c>
      <c r="N16" s="36">
        <v>116.61</v>
      </c>
      <c r="O16" s="36"/>
      <c r="P16" s="35" t="s">
        <v>12</v>
      </c>
      <c r="Q16" s="35" t="s">
        <v>108</v>
      </c>
      <c r="R16" s="35"/>
      <c r="S16" s="36" t="s">
        <v>163</v>
      </c>
    </row>
    <row r="17" spans="1:19" ht="14.4" x14ac:dyDescent="0.3">
      <c r="A17" s="35" t="s">
        <v>106</v>
      </c>
      <c r="B17" s="36">
        <v>7001</v>
      </c>
      <c r="C17" s="36" t="s">
        <v>166</v>
      </c>
      <c r="D17" s="36" t="s">
        <v>167</v>
      </c>
      <c r="E17" s="35">
        <v>1</v>
      </c>
      <c r="F17" s="36"/>
      <c r="G17" s="36" t="s">
        <v>98</v>
      </c>
      <c r="H17" s="36" t="s">
        <v>168</v>
      </c>
      <c r="I17" s="36" t="s">
        <v>169</v>
      </c>
      <c r="J17" s="35" t="s">
        <v>101</v>
      </c>
      <c r="K17" s="35" t="s">
        <v>102</v>
      </c>
      <c r="L17" s="36"/>
      <c r="M17" s="36">
        <v>132</v>
      </c>
      <c r="N17" s="36">
        <v>249</v>
      </c>
      <c r="O17" s="36"/>
      <c r="P17" s="35" t="s">
        <v>11</v>
      </c>
      <c r="Q17" s="35" t="s">
        <v>60</v>
      </c>
      <c r="R17" s="35"/>
      <c r="S17" s="36"/>
    </row>
    <row r="18" spans="1:19" ht="14.4" x14ac:dyDescent="0.3">
      <c r="A18" s="35" t="s">
        <v>106</v>
      </c>
      <c r="B18" s="36">
        <v>7002</v>
      </c>
      <c r="C18" s="36" t="s">
        <v>170</v>
      </c>
      <c r="D18" s="36" t="s">
        <v>171</v>
      </c>
      <c r="E18" s="35">
        <v>3</v>
      </c>
      <c r="F18" s="36"/>
      <c r="G18" s="36" t="s">
        <v>121</v>
      </c>
      <c r="H18" s="36" t="s">
        <v>172</v>
      </c>
      <c r="I18" s="36" t="s">
        <v>173</v>
      </c>
      <c r="J18" s="35" t="s">
        <v>114</v>
      </c>
      <c r="K18" s="35" t="s">
        <v>107</v>
      </c>
      <c r="L18" s="36"/>
      <c r="M18" s="36">
        <v>1112</v>
      </c>
      <c r="N18" s="36">
        <v>2284</v>
      </c>
      <c r="O18" s="36"/>
      <c r="P18" s="35" t="s">
        <v>11</v>
      </c>
      <c r="Q18" s="35" t="s">
        <v>124</v>
      </c>
      <c r="R18" s="35"/>
      <c r="S18" s="36"/>
    </row>
    <row r="19" spans="1:19" ht="14.4" x14ac:dyDescent="0.3">
      <c r="A19" s="35" t="s">
        <v>174</v>
      </c>
      <c r="B19" s="36">
        <v>7003</v>
      </c>
      <c r="C19" s="36" t="s">
        <v>175</v>
      </c>
      <c r="D19" s="36" t="s">
        <v>176</v>
      </c>
      <c r="E19" s="35">
        <v>16</v>
      </c>
      <c r="F19" s="36"/>
      <c r="G19" s="36" t="s">
        <v>98</v>
      </c>
      <c r="H19" s="36" t="s">
        <v>177</v>
      </c>
      <c r="I19" s="36" t="s">
        <v>178</v>
      </c>
      <c r="J19" s="35" t="s">
        <v>101</v>
      </c>
      <c r="K19" s="35" t="s">
        <v>107</v>
      </c>
      <c r="L19" s="36"/>
      <c r="M19" s="36">
        <v>441</v>
      </c>
      <c r="N19" s="36">
        <v>1121</v>
      </c>
      <c r="O19" s="36"/>
      <c r="P19" s="35" t="s">
        <v>11</v>
      </c>
      <c r="Q19" s="35" t="s">
        <v>108</v>
      </c>
      <c r="R19" s="35" t="s">
        <v>157</v>
      </c>
      <c r="S19" s="36"/>
    </row>
    <row r="20" spans="1:19" ht="14.4" x14ac:dyDescent="0.3">
      <c r="A20" s="35" t="s">
        <v>179</v>
      </c>
      <c r="B20" s="36">
        <v>9001</v>
      </c>
      <c r="C20" s="36" t="s">
        <v>180</v>
      </c>
      <c r="D20" s="36" t="s">
        <v>181</v>
      </c>
      <c r="E20" s="35">
        <v>9</v>
      </c>
      <c r="F20" s="36"/>
      <c r="G20" s="36" t="s">
        <v>98</v>
      </c>
      <c r="H20" s="36" t="s">
        <v>182</v>
      </c>
      <c r="I20" s="36" t="s">
        <v>183</v>
      </c>
      <c r="J20" s="35" t="s">
        <v>101</v>
      </c>
      <c r="K20" s="35" t="s">
        <v>107</v>
      </c>
      <c r="L20" s="36"/>
      <c r="M20" s="36">
        <v>661</v>
      </c>
      <c r="N20" s="36">
        <v>1576</v>
      </c>
      <c r="O20" s="36"/>
      <c r="P20" s="35" t="s">
        <v>13</v>
      </c>
      <c r="Q20" s="35" t="s">
        <v>60</v>
      </c>
      <c r="R20" s="35"/>
      <c r="S20" s="36"/>
    </row>
    <row r="21" spans="1:19" ht="15.75" customHeight="1" x14ac:dyDescent="0.3">
      <c r="A21" s="35" t="s">
        <v>184</v>
      </c>
      <c r="B21" s="36">
        <v>9002</v>
      </c>
      <c r="C21" s="36" t="s">
        <v>185</v>
      </c>
      <c r="D21" s="36" t="s">
        <v>186</v>
      </c>
      <c r="E21" s="35">
        <v>68</v>
      </c>
      <c r="F21" s="36"/>
      <c r="G21" s="36" t="s">
        <v>121</v>
      </c>
      <c r="H21" s="36" t="s">
        <v>187</v>
      </c>
      <c r="I21" s="36" t="s">
        <v>188</v>
      </c>
      <c r="J21" s="35" t="s">
        <v>114</v>
      </c>
      <c r="K21" s="35" t="s">
        <v>107</v>
      </c>
      <c r="L21" s="36"/>
      <c r="M21" s="36">
        <v>3618</v>
      </c>
      <c r="N21" s="36">
        <v>7662</v>
      </c>
      <c r="O21" s="36"/>
      <c r="P21" s="35" t="s">
        <v>13</v>
      </c>
      <c r="Q21" s="35" t="s">
        <v>124</v>
      </c>
      <c r="R21" s="35"/>
      <c r="S21" s="36"/>
    </row>
    <row r="22" spans="1:19" ht="15.75" customHeight="1" x14ac:dyDescent="0.3">
      <c r="A22" s="35" t="s">
        <v>189</v>
      </c>
      <c r="B22" s="36">
        <v>9003</v>
      </c>
      <c r="C22" s="36" t="s">
        <v>190</v>
      </c>
      <c r="D22" s="36" t="s">
        <v>191</v>
      </c>
      <c r="E22" s="35">
        <v>27</v>
      </c>
      <c r="F22" s="36"/>
      <c r="G22" s="36" t="s">
        <v>98</v>
      </c>
      <c r="H22" s="36" t="s">
        <v>192</v>
      </c>
      <c r="I22" s="36" t="s">
        <v>179</v>
      </c>
      <c r="J22" s="35" t="s">
        <v>101</v>
      </c>
      <c r="K22" s="35" t="s">
        <v>107</v>
      </c>
      <c r="L22" s="36"/>
      <c r="M22" s="36">
        <v>316</v>
      </c>
      <c r="N22" s="36">
        <v>677</v>
      </c>
      <c r="O22" s="36"/>
      <c r="P22" s="35" t="s">
        <v>13</v>
      </c>
      <c r="Q22" s="35" t="s">
        <v>108</v>
      </c>
      <c r="R22" s="35" t="s">
        <v>157</v>
      </c>
      <c r="S22" s="36"/>
    </row>
    <row r="23" spans="1:19" ht="15.75" customHeight="1" x14ac:dyDescent="0.3"/>
    <row r="24" spans="1:19" ht="15.75" customHeight="1" x14ac:dyDescent="0.3"/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S1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4140625" defaultRowHeight="15" customHeight="1" x14ac:dyDescent="0.3"/>
  <cols>
    <col min="1" max="1" width="80" customWidth="1"/>
    <col min="2" max="26" width="8.6640625" customWidth="1"/>
  </cols>
  <sheetData>
    <row r="1" spans="1:1" ht="21.75" customHeight="1" x14ac:dyDescent="0.3">
      <c r="A1" s="37" t="s">
        <v>193</v>
      </c>
    </row>
    <row r="2" spans="1:1" ht="21.75" customHeight="1" x14ac:dyDescent="0.3">
      <c r="A2" s="38"/>
    </row>
    <row r="3" spans="1:1" ht="21.75" customHeight="1" x14ac:dyDescent="0.3">
      <c r="A3" s="39" t="s">
        <v>194</v>
      </c>
    </row>
    <row r="4" spans="1:1" ht="21.75" customHeight="1" x14ac:dyDescent="0.3">
      <c r="A4" s="38" t="s">
        <v>195</v>
      </c>
    </row>
    <row r="5" spans="1:1" ht="21.75" customHeight="1" x14ac:dyDescent="0.3">
      <c r="A5" s="38" t="s">
        <v>196</v>
      </c>
    </row>
    <row r="6" spans="1:1" ht="21.75" customHeight="1" x14ac:dyDescent="0.3">
      <c r="A6" s="38" t="s">
        <v>197</v>
      </c>
    </row>
    <row r="7" spans="1:1" ht="21.75" customHeight="1" x14ac:dyDescent="0.3">
      <c r="A7" s="38" t="s">
        <v>198</v>
      </c>
    </row>
    <row r="8" spans="1:1" ht="21.75" customHeight="1" x14ac:dyDescent="0.3">
      <c r="A8" s="38"/>
    </row>
    <row r="9" spans="1:1" ht="21.75" customHeight="1" x14ac:dyDescent="0.3">
      <c r="A9" s="39" t="s">
        <v>199</v>
      </c>
    </row>
    <row r="10" spans="1:1" ht="21.75" customHeight="1" x14ac:dyDescent="0.3">
      <c r="A10" s="38" t="s">
        <v>200</v>
      </c>
    </row>
    <row r="11" spans="1:1" ht="21.75" customHeight="1" x14ac:dyDescent="0.3">
      <c r="A11" s="38" t="s">
        <v>201</v>
      </c>
    </row>
    <row r="12" spans="1:1" ht="21.75" customHeight="1" x14ac:dyDescent="0.3">
      <c r="A12" s="38" t="s">
        <v>202</v>
      </c>
    </row>
    <row r="13" spans="1:1" ht="21.75" customHeight="1" x14ac:dyDescent="0.3">
      <c r="A13" s="38"/>
    </row>
    <row r="14" spans="1:1" ht="21.75" customHeight="1" x14ac:dyDescent="0.3">
      <c r="A14" s="39" t="s">
        <v>203</v>
      </c>
    </row>
    <row r="15" spans="1:1" ht="21.75" customHeight="1" x14ac:dyDescent="0.3">
      <c r="A15" s="38" t="s">
        <v>204</v>
      </c>
    </row>
    <row r="16" spans="1:1" ht="21.75" customHeight="1" x14ac:dyDescent="0.3">
      <c r="A16" s="38" t="s">
        <v>205</v>
      </c>
    </row>
    <row r="17" spans="1:1" ht="21.75" customHeight="1" x14ac:dyDescent="0.3">
      <c r="A17" s="38" t="s">
        <v>206</v>
      </c>
    </row>
    <row r="18" spans="1:1" ht="21.75" customHeight="1" x14ac:dyDescent="0.3">
      <c r="A18" s="38"/>
    </row>
    <row r="19" spans="1:1" ht="21.75" customHeight="1" x14ac:dyDescent="0.3">
      <c r="A19" s="40" t="s">
        <v>207</v>
      </c>
    </row>
    <row r="20" spans="1:1" ht="21.75" customHeight="1" x14ac:dyDescent="0.3">
      <c r="A20" s="38" t="s">
        <v>208</v>
      </c>
    </row>
    <row r="21" spans="1:1" ht="21.75" customHeight="1" x14ac:dyDescent="0.3">
      <c r="A21" s="38" t="s">
        <v>209</v>
      </c>
    </row>
    <row r="22" spans="1:1" ht="21.75" customHeight="1" x14ac:dyDescent="0.3">
      <c r="A22" s="38" t="s">
        <v>210</v>
      </c>
    </row>
    <row r="23" spans="1:1" ht="21.75" customHeight="1" x14ac:dyDescent="0.3">
      <c r="A23" s="38" t="s">
        <v>211</v>
      </c>
    </row>
    <row r="24" spans="1:1" ht="21.75" customHeight="1" x14ac:dyDescent="0.3">
      <c r="A24" s="38" t="s">
        <v>212</v>
      </c>
    </row>
    <row r="25" spans="1:1" ht="21.75" customHeight="1" x14ac:dyDescent="0.3">
      <c r="A25" s="38" t="s">
        <v>213</v>
      </c>
    </row>
    <row r="26" spans="1:1" ht="21.75" customHeight="1" x14ac:dyDescent="0.3">
      <c r="A26" s="38" t="s">
        <v>214</v>
      </c>
    </row>
    <row r="27" spans="1:1" ht="21.75" customHeight="1" x14ac:dyDescent="0.3">
      <c r="A27" s="38" t="s">
        <v>215</v>
      </c>
    </row>
    <row r="28" spans="1:1" ht="21.75" customHeight="1" x14ac:dyDescent="0.3">
      <c r="A28" s="38" t="s">
        <v>216</v>
      </c>
    </row>
    <row r="29" spans="1:1" ht="21.75" customHeight="1" x14ac:dyDescent="0.3">
      <c r="A29" s="38" t="s">
        <v>217</v>
      </c>
    </row>
    <row r="30" spans="1:1" ht="21.75" customHeight="1" x14ac:dyDescent="0.3">
      <c r="A30" s="38"/>
    </row>
    <row r="31" spans="1:1" ht="21.75" customHeight="1" x14ac:dyDescent="0.3">
      <c r="A31" s="41" t="s">
        <v>218</v>
      </c>
    </row>
    <row r="32" spans="1:1" ht="21.75" customHeight="1" x14ac:dyDescent="0.3">
      <c r="A32" s="38" t="s">
        <v>219</v>
      </c>
    </row>
    <row r="33" spans="1:1" ht="21.75" customHeight="1" x14ac:dyDescent="0.3">
      <c r="A33" s="38" t="s">
        <v>220</v>
      </c>
    </row>
    <row r="34" spans="1:1" ht="21.75" customHeight="1" x14ac:dyDescent="0.3">
      <c r="A34" s="38" t="s">
        <v>221</v>
      </c>
    </row>
    <row r="35" spans="1:1" ht="21.75" customHeight="1" x14ac:dyDescent="0.3">
      <c r="A35" s="38" t="s">
        <v>222</v>
      </c>
    </row>
    <row r="36" spans="1:1" ht="15.75" customHeight="1" x14ac:dyDescent="0.3"/>
    <row r="37" spans="1:1" ht="15.75" customHeight="1" x14ac:dyDescent="0.3"/>
    <row r="38" spans="1:1" ht="15.75" customHeight="1" x14ac:dyDescent="0.3"/>
    <row r="39" spans="1:1" ht="15.75" customHeight="1" x14ac:dyDescent="0.3"/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/>
    <row r="44" spans="1:1" ht="15.75" customHeight="1" x14ac:dyDescent="0.3"/>
    <row r="45" spans="1:1" ht="15.75" customHeight="1" x14ac:dyDescent="0.3"/>
    <row r="46" spans="1:1" ht="15.75" customHeight="1" x14ac:dyDescent="0.3"/>
    <row r="47" spans="1:1" ht="15.75" customHeight="1" x14ac:dyDescent="0.3"/>
    <row r="48" spans="1: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Harvinder Singh</cp:lastModifiedBy>
  <dcterms:created xsi:type="dcterms:W3CDTF">2026-03-28T14:08:19Z</dcterms:created>
  <dcterms:modified xsi:type="dcterms:W3CDTF">2026-03-28T22:13:30Z</dcterms:modified>
</cp:coreProperties>
</file>